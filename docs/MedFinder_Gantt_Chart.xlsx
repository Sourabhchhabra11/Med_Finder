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dha\Downloads\"/>
    </mc:Choice>
  </mc:AlternateContent>
  <xr:revisionPtr revIDLastSave="0" documentId="13_ncr:1_{6F120033-CD4E-481B-A487-9EC679E3E53C}" xr6:coauthVersionLast="47" xr6:coauthVersionMax="47" xr10:uidLastSave="{00000000-0000-0000-0000-000000000000}"/>
  <bookViews>
    <workbookView xWindow="-108" yWindow="-108" windowWidth="23256" windowHeight="12456" tabRatio="500" xr2:uid="{00000000-000D-0000-FFFF-FFFF00000000}"/>
  </bookViews>
  <sheets>
    <sheet name="ProjectSchedule" sheetId="1" r:id="rId1"/>
    <sheet name="About" sheetId="2" r:id="rId2"/>
  </sheets>
  <definedNames>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3" i="2" l="1"/>
  <c r="H37" i="1"/>
  <c r="H36" i="1"/>
  <c r="H35" i="1"/>
  <c r="H34" i="1"/>
  <c r="H33" i="1"/>
  <c r="H31" i="1"/>
  <c r="H30" i="1"/>
  <c r="H29" i="1"/>
  <c r="H28" i="1"/>
  <c r="H27" i="1"/>
  <c r="H25" i="1"/>
  <c r="H24" i="1"/>
  <c r="H23" i="1"/>
  <c r="H22" i="1"/>
  <c r="H21" i="1"/>
  <c r="H19" i="1"/>
  <c r="H18" i="1"/>
  <c r="H17" i="1"/>
  <c r="H16" i="1"/>
  <c r="H15" i="1"/>
  <c r="H13" i="1"/>
  <c r="H12" i="1"/>
  <c r="H11" i="1"/>
  <c r="H10" i="1"/>
  <c r="H9" i="1"/>
  <c r="H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6" authorId="0" shapeId="0" xr:uid="{00000000-0006-0000-0000-000001000000}">
      <text>
        <r>
          <rPr>
            <sz val="10"/>
            <rFont val="Arial"/>
            <family val="2"/>
          </rPr>
          <t>DAYS:
This column calculates the duration of the task in calendar days. The duration includes both the Start and End dates.</t>
        </r>
      </text>
    </comment>
  </commentList>
</comments>
</file>

<file path=xl/sharedStrings.xml><?xml version="1.0" encoding="utf-8"?>
<sst xmlns="http://schemas.openxmlformats.org/spreadsheetml/2006/main" count="225" uniqueCount="89">
  <si>
    <t>MEDFINDER</t>
  </si>
  <si>
    <t>PROJECT GANTT CHART</t>
  </si>
  <si>
    <t>Project:</t>
  </si>
  <si>
    <t>Real-Time Medicine Availability &amp; Store Locator</t>
  </si>
  <si>
    <t>Project Start:</t>
  </si>
  <si>
    <t>Team Members:</t>
  </si>
  <si>
    <t>Madhav Gupta  •  Sourabh Chhabra  •  Arpit Yadav</t>
  </si>
  <si>
    <t>Today:</t>
  </si>
  <si>
    <t>Display Week:</t>
  </si>
  <si>
    <t>Week 1 (03 Aug)</t>
  </si>
  <si>
    <t>Week 2 (10 Aug)</t>
  </si>
  <si>
    <t>Week 3 (17 Aug)</t>
  </si>
  <si>
    <t>Week 4 (24 Aug)</t>
  </si>
  <si>
    <t>Week 5 (31 Aug)</t>
  </si>
  <si>
    <t>Week 6 (07 Sep)</t>
  </si>
  <si>
    <t>Week 7 (14 Sep)</t>
  </si>
  <si>
    <t>Week 8 (21 Sep)</t>
  </si>
  <si>
    <t>Week 9 (28 Sep)</t>
  </si>
  <si>
    <t>Week 10 (05 Oct)</t>
  </si>
  <si>
    <t>Week 11 (12 Oct)</t>
  </si>
  <si>
    <t>Week 12 (19 Oct)</t>
  </si>
  <si>
    <t>Week 13 (26 Oct)</t>
  </si>
  <si>
    <t>Week 14 (02 Nov)</t>
  </si>
  <si>
    <t>Week 15 (09 Nov)</t>
  </si>
  <si>
    <t>Week 16 (16 Nov)</t>
  </si>
  <si>
    <t>Week 17 (23 Nov)</t>
  </si>
  <si>
    <t>Week 18 (30 Nov)</t>
  </si>
  <si>
    <t>TASK</t>
  </si>
  <si>
    <t>ASSIGNED TO</t>
  </si>
  <si>
    <t>PROGRESS</t>
  </si>
  <si>
    <t>START</t>
  </si>
  <si>
    <t>END</t>
  </si>
  <si>
    <t>DAYS</t>
  </si>
  <si>
    <t>ASSIGNED
TO</t>
  </si>
  <si>
    <t>M</t>
  </si>
  <si>
    <t>T</t>
  </si>
  <si>
    <t>W</t>
  </si>
  <si>
    <t>F</t>
  </si>
  <si>
    <t>S</t>
  </si>
  <si>
    <t>Phase 1 — Planning &amp; Research</t>
  </si>
  <si>
    <t>Finalize problem statement and project objectives</t>
  </si>
  <si>
    <t>Madhav Gupta, Sourabh Chhabra</t>
  </si>
  <si>
    <t>Research existing medicine availability systems</t>
  </si>
  <si>
    <t>Madhav Gupta, Arpit Yadav</t>
  </si>
  <si>
    <t>Prepare and Submit Project Proposal</t>
  </si>
  <si>
    <t>All Members</t>
  </si>
  <si>
    <t>Prepare and deliver Presentation for idea disclosure</t>
  </si>
  <si>
    <t>Finalize technology stack and development plan</t>
  </si>
  <si>
    <t>Sourabh Chhabra</t>
  </si>
  <si>
    <t>Phase 2 — System Analysis &amp; Design</t>
  </si>
  <si>
    <t>Prepared Data Flow(DFD), UML and ER diagrams</t>
  </si>
  <si>
    <t>Arpit Yadav</t>
  </si>
  <si>
    <t>Prepared Activity diagrams</t>
  </si>
  <si>
    <t>Madhav Gupta</t>
  </si>
  <si>
    <t>Design MySQL database schema</t>
  </si>
  <si>
    <t>Design system architecture and module structure</t>
  </si>
  <si>
    <t>Define REST API structure and data flow</t>
  </si>
  <si>
    <t>Phase 3 — Backend &amp; Database Development</t>
  </si>
  <si>
    <t>Set up Spring Boot project and backend structure</t>
  </si>
  <si>
    <t>Implement MySQL tables, entities and repositories</t>
  </si>
  <si>
    <t>Developed robust backend infrastructure</t>
  </si>
  <si>
    <t>Develop medicine search and inventory APIs</t>
  </si>
  <si>
    <t>Implement availability, store-distance and locator APIs</t>
  </si>
  <si>
    <t>Phase 4 — Frontend</t>
  </si>
  <si>
    <t>Set up React.js application and component structure</t>
  </si>
  <si>
    <t>Build login, registration and user interface</t>
  </si>
  <si>
    <t>Build medicine search and availability results screens</t>
  </si>
  <si>
    <t>Nearby store locator</t>
  </si>
  <si>
    <t>Integrated complex 3D animation</t>
  </si>
  <si>
    <t>Phase 5 — Integration, Testing &amp; Finalization</t>
  </si>
  <si>
    <t>Planning note:</t>
  </si>
  <si>
    <t>Progress values above are suggested as of 6-Sep-2026 based only on the work you reported; update them to match your actual team progress.</t>
  </si>
  <si>
    <t>Legend</t>
  </si>
  <si>
    <t>Green = completed/progress; light blue = planned duration; yellow = today (6-Sep-2026)</t>
  </si>
  <si>
    <t>SIMPLE GANTT CHART by Vertex42.com</t>
  </si>
  <si>
    <t>https://www.vertex42.com/ExcelTemplates/simple-gantt-chart.html</t>
  </si>
  <si>
    <t>© 2018-2019 Vertex42 LLC</t>
  </si>
  <si>
    <t>MedFinder project technology: React.js frontend, Spring Boot (Java) backend, MySQL database, Google Maps for store location.</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</si>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</sst>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mm\-yyyy"/>
    <numFmt numFmtId="165" formatCode="mmm\ d&quot;, &quot;yyyy"/>
    <numFmt numFmtId="166" formatCode="m/d/yy;@"/>
  </numFmts>
  <fonts count="29" x14ac:knownFonts="1">
    <font>
      <sz val="11"/>
      <color theme="1"/>
      <name val="Calibri"/>
      <family val="2"/>
      <charset val="1"/>
    </font>
    <font>
      <b/>
      <sz val="20"/>
      <color rgb="FF44546A"/>
      <name val="Calibri"/>
      <charset val="1"/>
    </font>
    <font>
      <b/>
      <sz val="10"/>
      <color rgb="FF4472C4"/>
      <name val="Calibri"/>
      <charset val="1"/>
    </font>
    <font>
      <sz val="10"/>
      <color theme="0" tint="-0.499984740745262"/>
      <name val="Calibri"/>
      <family val="2"/>
      <charset val="1"/>
    </font>
    <font>
      <u/>
      <sz val="11"/>
      <color rgb="FF0000FF"/>
      <name val="Arial"/>
      <family val="2"/>
      <charset val="1"/>
    </font>
    <font>
      <u/>
      <sz val="9"/>
      <color theme="4" tint="-0.249977111117893"/>
      <name val="Arial"/>
      <family val="2"/>
      <charset val="1"/>
    </font>
    <font>
      <b/>
      <sz val="11"/>
      <color rgb="FF44546A"/>
      <name val="Calibri"/>
      <charset val="1"/>
    </font>
    <font>
      <sz val="11"/>
      <color rgb="FF000000"/>
      <name val="Calibri"/>
      <charset val="1"/>
    </font>
    <font>
      <sz val="9"/>
      <name val="Calibri"/>
      <family val="2"/>
      <charset val="1"/>
    </font>
    <font>
      <sz val="16"/>
      <color theme="1"/>
      <name val="Calibri"/>
      <family val="2"/>
      <charset val="1"/>
    </font>
    <font>
      <b/>
      <sz val="9"/>
      <color theme="0"/>
      <name val="Calibri"/>
      <family val="2"/>
      <charset val="1"/>
    </font>
    <font>
      <sz val="8"/>
      <color theme="0"/>
      <name val="Calibri"/>
      <family val="2"/>
      <charset val="1"/>
    </font>
    <font>
      <sz val="11"/>
      <name val="Calibri"/>
      <family val="2"/>
      <charset val="1"/>
    </font>
    <font>
      <b/>
      <sz val="11"/>
      <color theme="1"/>
      <name val="Calibri"/>
      <family val="2"/>
      <charset val="1"/>
    </font>
    <font>
      <i/>
      <sz val="9"/>
      <color theme="1"/>
      <name val="Calibri"/>
      <family val="2"/>
      <charset val="1"/>
    </font>
    <font>
      <b/>
      <sz val="11"/>
      <color theme="1" tint="0.49989318521683401"/>
      <name val="Calibri"/>
      <family val="2"/>
      <charset val="1"/>
    </font>
    <font>
      <sz val="11"/>
      <color theme="0"/>
      <name val="Calibri"/>
      <family val="2"/>
      <charset val="1"/>
    </font>
    <font>
      <sz val="9"/>
      <color theme="1" tint="0.49989318521683401"/>
      <name val="Arial"/>
      <family val="2"/>
      <charset val="1"/>
    </font>
    <font>
      <sz val="10"/>
      <color theme="1" tint="0.49989318521683401"/>
      <name val="Arial"/>
      <family val="2"/>
      <charset val="1"/>
    </font>
    <font>
      <sz val="10"/>
      <name val="Arial"/>
      <family val="2"/>
    </font>
    <font>
      <sz val="10"/>
      <name val="Calibri"/>
      <family val="2"/>
      <charset val="1"/>
    </font>
    <font>
      <b/>
      <sz val="10"/>
      <name val="Calibri"/>
      <family val="2"/>
      <charset val="1"/>
    </font>
    <font>
      <b/>
      <sz val="12"/>
      <color theme="1" tint="0.3498947111423078"/>
      <name val="Calibri"/>
      <family val="2"/>
      <charset val="1"/>
    </font>
    <font>
      <sz val="11"/>
      <color theme="1" tint="0.49989318521683401"/>
      <name val="Calibri"/>
      <family val="2"/>
      <charset val="1"/>
    </font>
    <font>
      <sz val="10"/>
      <color theme="1" tint="0.3498947111423078"/>
      <name val="Calibri"/>
      <family val="2"/>
      <charset val="1"/>
    </font>
    <font>
      <sz val="20"/>
      <name val="Calibri"/>
      <family val="2"/>
      <charset val="1"/>
    </font>
    <font>
      <b/>
      <sz val="16"/>
      <color theme="4" tint="-0.249977111117893"/>
      <name val="Calibri"/>
      <family val="2"/>
      <charset val="1"/>
    </font>
    <font>
      <sz val="11"/>
      <color rgb="FF1D2129"/>
      <name val="Calibri"/>
      <family val="2"/>
      <charset val="1"/>
    </font>
    <font>
      <sz val="11"/>
      <color theme="1"/>
      <name val="Calibri"/>
      <family val="2"/>
      <charset val="1"/>
    </font>
  </fonts>
  <fills count="9">
    <fill>
      <patternFill patternType="none"/>
    </fill>
    <fill>
      <patternFill patternType="gray125"/>
    </fill>
    <fill>
      <patternFill patternType="solid">
        <fgColor theme="0" tint="-0.14999847407452621"/>
        <bgColor rgb="FFD9E1F2"/>
      </patternFill>
    </fill>
    <fill>
      <patternFill patternType="solid">
        <fgColor rgb="FFFFD966"/>
        <bgColor rgb="FFFFFF99"/>
      </patternFill>
    </fill>
    <fill>
      <patternFill patternType="solid">
        <fgColor theme="1" tint="0.3498947111423078"/>
        <bgColor rgb="FF44546A"/>
      </patternFill>
    </fill>
    <fill>
      <patternFill patternType="solid">
        <fgColor theme="4" tint="0.59987182226020086"/>
        <bgColor rgb="FFBFBFBF"/>
      </patternFill>
    </fill>
    <fill>
      <patternFill patternType="solid">
        <fgColor theme="4" tint="0.79989013336588644"/>
        <bgColor rgb="FFD9E1F2"/>
      </patternFill>
    </fill>
    <fill>
      <patternFill patternType="solid">
        <fgColor rgb="FFBFBFBF"/>
        <bgColor rgb="FFB9CDE5"/>
      </patternFill>
    </fill>
    <fill>
      <patternFill patternType="solid">
        <fgColor theme="0" tint="-4.9989318521683403E-2"/>
        <bgColor rgb="FFFFFFFF"/>
      </patternFill>
    </fill>
  </fills>
  <borders count="1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rgb="FFD9E1F2"/>
      </left>
      <right style="thin">
        <color rgb="FFD9E1F2"/>
      </right>
      <top style="thin">
        <color rgb="FFD9E1F2"/>
      </top>
      <bottom style="thin">
        <color rgb="FFD9E1F2"/>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9847407452621"/>
      </bottom>
      <diagonal/>
    </border>
    <border>
      <left style="thin">
        <color theme="0" tint="-0.14999847407452621"/>
      </left>
      <right style="thin">
        <color theme="0" tint="-0.14999847407452621"/>
      </right>
      <top style="medium">
        <color theme="0" tint="-0.14999847407452621"/>
      </top>
      <bottom style="medium">
        <color theme="0" tint="-0.14999847407452621"/>
      </bottom>
      <diagonal/>
    </border>
    <border>
      <left/>
      <right/>
      <top style="medium">
        <color theme="0" tint="-0.14999847407452621"/>
      </top>
      <bottom style="medium">
        <color theme="0" tint="-0.14999847407452621"/>
      </bottom>
      <diagonal/>
    </border>
  </borders>
  <cellStyleXfs count="3">
    <xf numFmtId="0" fontId="0" fillId="0" borderId="0"/>
    <xf numFmtId="9" fontId="28" fillId="0" borderId="0"/>
    <xf numFmtId="0" fontId="4" fillId="0" borderId="0">
      <alignment vertical="top"/>
      <protection locked="0"/>
    </xf>
  </cellStyleXfs>
  <cellXfs count="75">
    <xf numFmtId="0" fontId="0" fillId="0" borderId="0" xfId="0"/>
    <xf numFmtId="0" fontId="0" fillId="2" borderId="0" xfId="0" applyFill="1" applyAlignment="1">
      <alignment horizontal="center" vertical="center"/>
    </xf>
    <xf numFmtId="0" fontId="0" fillId="0" borderId="0" xfId="0" applyAlignment="1">
      <alignment horizontal="center"/>
    </xf>
    <xf numFmtId="0" fontId="2" fillId="0" borderId="0" xfId="0" applyFont="1" applyAlignment="1">
      <alignment horizontal="right" vertical="center"/>
    </xf>
    <xf numFmtId="0" fontId="3" fillId="0" borderId="0" xfId="0" applyFont="1" applyAlignment="1">
      <alignment vertical="center"/>
    </xf>
    <xf numFmtId="0" fontId="6" fillId="0" borderId="0" xfId="0" applyFont="1"/>
    <xf numFmtId="0" fontId="6" fillId="0" borderId="0" xfId="0" applyFont="1" applyAlignment="1">
      <alignment horizontal="left" vertical="center" wrapText="1"/>
    </xf>
    <xf numFmtId="0" fontId="6" fillId="0" borderId="0" xfId="0" applyFont="1" applyAlignment="1">
      <alignment horizontal="right" vertical="center"/>
    </xf>
    <xf numFmtId="164" fontId="7" fillId="0" borderId="0" xfId="0" applyNumberFormat="1" applyFont="1" applyAlignment="1">
      <alignment horizontal="left" vertical="center"/>
    </xf>
    <xf numFmtId="0" fontId="7" fillId="0" borderId="1" xfId="0" applyFont="1" applyBorder="1" applyAlignment="1">
      <alignment horizontal="left" vertical="center"/>
    </xf>
    <xf numFmtId="0" fontId="0" fillId="0" borderId="0" xfId="0" applyAlignment="1">
      <alignment horizontal="right" vertical="center"/>
    </xf>
    <xf numFmtId="0" fontId="0" fillId="0" borderId="4" xfId="0" applyBorder="1"/>
    <xf numFmtId="0" fontId="0" fillId="0" borderId="4" xfId="0" applyBorder="1" applyAlignment="1">
      <alignment horizontal="right" vertical="center"/>
    </xf>
    <xf numFmtId="1" fontId="8" fillId="2" borderId="5" xfId="0" applyNumberFormat="1" applyFont="1" applyFill="1" applyBorder="1" applyAlignment="1">
      <alignment horizontal="center" vertical="center"/>
    </xf>
    <xf numFmtId="1" fontId="8" fillId="2" borderId="0" xfId="0" applyNumberFormat="1" applyFont="1" applyFill="1" applyAlignment="1">
      <alignment horizontal="center" vertical="center"/>
    </xf>
    <xf numFmtId="1" fontId="8" fillId="2" borderId="6" xfId="0" applyNumberFormat="1" applyFont="1" applyFill="1" applyBorder="1" applyAlignment="1">
      <alignment horizontal="center" vertical="center"/>
    </xf>
    <xf numFmtId="1" fontId="8" fillId="3" borderId="6" xfId="0" applyNumberFormat="1" applyFont="1" applyFill="1" applyBorder="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right" vertical="center"/>
    </xf>
    <xf numFmtId="0" fontId="10" fillId="4" borderId="4" xfId="0" applyFont="1" applyFill="1" applyBorder="1" applyAlignment="1">
      <alignment horizontal="left" vertical="center" indent="1"/>
    </xf>
    <xf numFmtId="0" fontId="10" fillId="4" borderId="4" xfId="0" applyFont="1" applyFill="1" applyBorder="1" applyAlignment="1">
      <alignment horizontal="center" vertical="center" wrapText="1"/>
    </xf>
    <xf numFmtId="0" fontId="11" fillId="4" borderId="7" xfId="0" applyFont="1" applyFill="1" applyBorder="1" applyAlignment="1">
      <alignment horizontal="center" vertical="center"/>
    </xf>
    <xf numFmtId="0" fontId="11" fillId="3" borderId="7" xfId="0" applyFont="1" applyFill="1" applyBorder="1" applyAlignment="1">
      <alignment horizontal="center" vertical="center"/>
    </xf>
    <xf numFmtId="0" fontId="0" fillId="0" borderId="0" xfId="0" applyAlignment="1">
      <alignment horizontal="center" vertical="center"/>
    </xf>
    <xf numFmtId="0" fontId="0" fillId="0" borderId="4" xfId="0" applyBorder="1" applyAlignment="1">
      <alignment horizontal="left" vertical="center" indent="1"/>
    </xf>
    <xf numFmtId="0" fontId="0" fillId="0" borderId="4" xfId="0" applyBorder="1" applyAlignment="1">
      <alignment horizontal="center" vertical="center"/>
    </xf>
    <xf numFmtId="9" fontId="12" fillId="0" borderId="4" xfId="1" applyFont="1" applyBorder="1" applyAlignment="1">
      <alignment horizontal="center" vertical="center"/>
    </xf>
    <xf numFmtId="166" fontId="0" fillId="0" borderId="4" xfId="0" applyNumberFormat="1" applyBorder="1" applyAlignment="1">
      <alignment horizontal="center" vertical="center"/>
    </xf>
    <xf numFmtId="166" fontId="12" fillId="0" borderId="4" xfId="0" applyNumberFormat="1" applyFont="1" applyBorder="1" applyAlignment="1">
      <alignment horizontal="center" vertical="center"/>
    </xf>
    <xf numFmtId="0" fontId="12" fillId="0" borderId="4" xfId="0" applyFont="1" applyBorder="1" applyAlignment="1">
      <alignment horizontal="center" vertical="center"/>
    </xf>
    <xf numFmtId="0" fontId="0" fillId="0" borderId="8" xfId="0" applyBorder="1" applyAlignment="1">
      <alignment vertical="center"/>
    </xf>
    <xf numFmtId="0" fontId="0" fillId="3" borderId="8" xfId="0" applyFill="1" applyBorder="1" applyAlignment="1">
      <alignment vertical="center"/>
    </xf>
    <xf numFmtId="0" fontId="0" fillId="0" borderId="0" xfId="0" applyAlignment="1">
      <alignment vertical="center"/>
    </xf>
    <xf numFmtId="0" fontId="0" fillId="6" borderId="4" xfId="0" applyFill="1" applyBorder="1" applyAlignment="1">
      <alignment horizontal="left" vertical="center" wrapText="1"/>
    </xf>
    <xf numFmtId="9" fontId="12" fillId="6" borderId="4" xfId="1" applyFont="1" applyFill="1" applyBorder="1" applyAlignment="1">
      <alignment horizontal="center" vertical="center"/>
    </xf>
    <xf numFmtId="164" fontId="0" fillId="6" borderId="4" xfId="0" applyNumberFormat="1" applyFill="1" applyBorder="1" applyAlignment="1">
      <alignment horizontal="center" vertical="center"/>
    </xf>
    <xf numFmtId="164" fontId="12" fillId="6" borderId="4" xfId="0" applyNumberFormat="1" applyFont="1" applyFill="1" applyBorder="1" applyAlignment="1">
      <alignment horizontal="center" vertical="center"/>
    </xf>
    <xf numFmtId="1" fontId="12" fillId="0" borderId="4" xfId="0" applyNumberFormat="1" applyFont="1" applyBorder="1" applyAlignment="1">
      <alignment horizontal="center" vertical="center"/>
    </xf>
    <xf numFmtId="0" fontId="0" fillId="7" borderId="8" xfId="0" applyFill="1" applyBorder="1" applyAlignment="1">
      <alignment vertical="center"/>
    </xf>
    <xf numFmtId="0" fontId="0" fillId="0" borderId="8" xfId="0" applyBorder="1" applyAlignment="1">
      <alignment horizontal="right" vertical="center"/>
    </xf>
    <xf numFmtId="0" fontId="0" fillId="7" borderId="0" xfId="0" applyFill="1"/>
    <xf numFmtId="0" fontId="0" fillId="0" borderId="9" xfId="0" applyBorder="1" applyAlignment="1">
      <alignment horizontal="left" vertical="center" indent="1"/>
    </xf>
    <xf numFmtId="0" fontId="0" fillId="0" borderId="9" xfId="0" applyBorder="1" applyAlignment="1">
      <alignment horizontal="center" vertical="center"/>
    </xf>
    <xf numFmtId="9" fontId="12" fillId="0" borderId="9" xfId="1" applyFont="1" applyBorder="1" applyAlignment="1">
      <alignment horizontal="center" vertical="center"/>
    </xf>
    <xf numFmtId="166" fontId="0" fillId="0" borderId="9" xfId="0" applyNumberFormat="1" applyBorder="1" applyAlignment="1">
      <alignment horizontal="center" vertical="center"/>
    </xf>
    <xf numFmtId="166" fontId="12" fillId="0" borderId="9" xfId="0" applyNumberFormat="1" applyFont="1" applyBorder="1" applyAlignment="1">
      <alignment horizontal="center" vertical="center"/>
    </xf>
    <xf numFmtId="0" fontId="12" fillId="0" borderId="9" xfId="0" applyFont="1" applyBorder="1" applyAlignment="1">
      <alignment horizontal="center" vertical="center"/>
    </xf>
    <xf numFmtId="0" fontId="14" fillId="8" borderId="9" xfId="0" applyFont="1" applyFill="1" applyBorder="1" applyAlignment="1">
      <alignment horizontal="left" vertical="center" indent="1"/>
    </xf>
    <xf numFmtId="0" fontId="0" fillId="8" borderId="8" xfId="0" applyFill="1" applyBorder="1" applyAlignment="1">
      <alignment vertical="center"/>
    </xf>
    <xf numFmtId="0" fontId="15" fillId="0" borderId="0" xfId="0" applyFont="1"/>
    <xf numFmtId="14" fontId="16" fillId="0" borderId="0" xfId="0" applyNumberFormat="1" applyFont="1" applyAlignment="1">
      <alignment horizontal="center"/>
    </xf>
    <xf numFmtId="0" fontId="17" fillId="0" borderId="0" xfId="2" applyFont="1" applyAlignment="1" applyProtection="1"/>
    <xf numFmtId="0" fontId="18" fillId="0" borderId="0" xfId="2" applyFont="1" applyAlignment="1" applyProtection="1"/>
    <xf numFmtId="0" fontId="17" fillId="0" borderId="0" xfId="0" applyFont="1"/>
    <xf numFmtId="0" fontId="20" fillId="0" borderId="0" xfId="0" applyFont="1"/>
    <xf numFmtId="0" fontId="20" fillId="0" borderId="0" xfId="0" applyFont="1" applyAlignment="1">
      <alignment vertical="top"/>
    </xf>
    <xf numFmtId="0" fontId="21" fillId="0" borderId="0" xfId="0" applyFont="1" applyAlignment="1">
      <alignment horizontal="left" vertical="center"/>
    </xf>
    <xf numFmtId="0" fontId="22" fillId="0" borderId="0" xfId="0" applyFont="1" applyAlignment="1">
      <alignment horizontal="left" vertical="center"/>
    </xf>
    <xf numFmtId="0" fontId="20" fillId="0" borderId="0" xfId="0" applyFont="1" applyAlignment="1">
      <alignment horizontal="left" vertical="center"/>
    </xf>
    <xf numFmtId="0" fontId="23" fillId="0" borderId="0" xfId="0" applyFont="1" applyAlignment="1">
      <alignment vertical="center"/>
    </xf>
    <xf numFmtId="0" fontId="24" fillId="0" borderId="0" xfId="0" applyFont="1" applyAlignment="1">
      <alignment vertical="top"/>
    </xf>
    <xf numFmtId="0" fontId="25" fillId="0" borderId="0" xfId="0" applyFont="1"/>
    <xf numFmtId="0" fontId="26" fillId="0" borderId="0" xfId="0" applyFont="1" applyAlignment="1">
      <alignment vertical="center"/>
    </xf>
    <xf numFmtId="0" fontId="27" fillId="0" borderId="0" xfId="0" applyFont="1" applyAlignment="1">
      <alignment horizontal="left" vertical="top" wrapText="1" indent="1"/>
    </xf>
    <xf numFmtId="0" fontId="27" fillId="0" borderId="0" xfId="0" applyFont="1" applyAlignment="1">
      <alignment vertical="top" wrapText="1"/>
    </xf>
    <xf numFmtId="0" fontId="4" fillId="0" borderId="0" xfId="2" applyAlignment="1" applyProtection="1">
      <alignment horizontal="left" indent="1"/>
    </xf>
    <xf numFmtId="0" fontId="0" fillId="0" borderId="0" xfId="0"/>
    <xf numFmtId="0" fontId="13" fillId="5" borderId="4" xfId="0" applyFont="1" applyFill="1" applyBorder="1" applyAlignment="1">
      <alignment horizontal="left" vertical="center"/>
    </xf>
    <xf numFmtId="0" fontId="0" fillId="0" borderId="9" xfId="0" applyBorder="1" applyAlignment="1">
      <alignment wrapText="1"/>
    </xf>
    <xf numFmtId="0" fontId="0" fillId="2" borderId="0" xfId="0" applyFill="1" applyAlignment="1">
      <alignment horizontal="center" vertical="center"/>
    </xf>
    <xf numFmtId="165" fontId="0" fillId="2" borderId="3" xfId="0" applyNumberFormat="1" applyFill="1" applyBorder="1" applyAlignment="1">
      <alignment horizontal="center" vertical="center"/>
    </xf>
    <xf numFmtId="0" fontId="1" fillId="0" borderId="0" xfId="0" applyFont="1" applyAlignment="1">
      <alignment horizontal="left" vertical="center"/>
    </xf>
    <xf numFmtId="0" fontId="5" fillId="0" borderId="0" xfId="2" applyFont="1" applyAlignment="1" applyProtection="1">
      <alignment horizontal="left" vertical="center"/>
    </xf>
    <xf numFmtId="164" fontId="7" fillId="0" borderId="1" xfId="0" applyNumberFormat="1" applyFont="1" applyBorder="1" applyAlignment="1">
      <alignment horizontal="left" vertical="center"/>
    </xf>
    <xf numFmtId="0" fontId="7" fillId="0" borderId="2" xfId="0" applyFont="1" applyBorder="1" applyAlignment="1">
      <alignment horizontal="left" vertical="center" wrapText="1"/>
    </xf>
  </cellXfs>
  <cellStyles count="3">
    <cellStyle name="Hyperlink" xfId="2" builtinId="8"/>
    <cellStyle name="Normal" xfId="0" builtinId="0"/>
    <cellStyle name="Percent" xfId="1" builtinId="5"/>
  </cellStyles>
  <dxfs count="4">
    <dxf>
      <fill>
        <patternFill>
          <bgColor rgb="FFD9E1F2"/>
        </patternFill>
      </fill>
    </dxf>
    <dxf>
      <fill>
        <patternFill>
          <bgColor rgb="FF70AD47"/>
        </patternFill>
      </fill>
    </dxf>
    <dxf>
      <fill>
        <patternFill>
          <bgColor rgb="FFD9E1F2"/>
        </patternFill>
      </fill>
    </dxf>
    <dxf>
      <fill>
        <patternFill>
          <bgColor rgb="FF70AD4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008080"/>
      <rgbColor rgb="FFBFBFBF"/>
      <rgbColor rgb="FF808080"/>
      <rgbColor rgb="FF9999FF"/>
      <rgbColor rgb="FF993366"/>
      <rgbColor rgb="FFF2F2F2"/>
      <rgbColor rgb="FFDCE6F2"/>
      <rgbColor rgb="FF660066"/>
      <rgbColor rgb="FFFF8080"/>
      <rgbColor rgb="FF376092"/>
      <rgbColor rgb="FFB9CDE5"/>
      <rgbColor rgb="FF000080"/>
      <rgbColor rgb="FFFF00FF"/>
      <rgbColor rgb="FFFFFF00"/>
      <rgbColor rgb="FF00FFFF"/>
      <rgbColor rgb="FF800080"/>
      <rgbColor rgb="FF800000"/>
      <rgbColor rgb="FF008080"/>
      <rgbColor rgb="FF0000FF"/>
      <rgbColor rgb="FF00CCFF"/>
      <rgbColor rgb="FFD9E1F2"/>
      <rgbColor rgb="FFD9D9D9"/>
      <rgbColor rgb="FFFFFF99"/>
      <rgbColor rgb="FF99CCFF"/>
      <rgbColor rgb="FFFF99CC"/>
      <rgbColor rgb="FFCC99FF"/>
      <rgbColor rgb="FFFFD966"/>
      <rgbColor rgb="FF4472C4"/>
      <rgbColor rgb="FF33CCCC"/>
      <rgbColor rgb="FF99CC00"/>
      <rgbColor rgb="FFFFCC00"/>
      <rgbColor rgb="FFFF9900"/>
      <rgbColor rgb="FFFF6600"/>
      <rgbColor rgb="FF595959"/>
      <rgbColor rgb="FFA6A6A6"/>
      <rgbColor rgb="FF003366"/>
      <rgbColor rgb="FF70AD47"/>
      <rgbColor rgb="FF003300"/>
      <rgbColor rgb="FF333300"/>
      <rgbColor rgb="FF993300"/>
      <rgbColor rgb="FF993366"/>
      <rgbColor rgb="FF44546A"/>
      <rgbColor rgb="FF1D212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95400</xdr:rowOff>
    </xdr:from>
    <xdr:to>
      <xdr:col>1</xdr:col>
      <xdr:colOff>1904760</xdr:colOff>
      <xdr:row>0</xdr:row>
      <xdr:rowOff>523800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203040" y="95400"/>
          <a:ext cx="1904760" cy="42840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2007-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help" TargetMode="Externa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5" Type="http://schemas.openxmlformats.org/officeDocument/2006/relationships/drawing" Target="../drawings/drawing1.xml"/><Relationship Id="rId4" Type="http://schemas.openxmlformats.org/officeDocument/2006/relationships/hyperlink" Target="https://www.vertex42.com/ExcelTemplates/excel-project-management.html?utm_source=v42&amp;utm_medium=file&amp;utm_campaign=templates&amp;utm_term=simple-gantt-chart_ms&amp;utm_content=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X45"/>
  <sheetViews>
    <sheetView showGridLines="0" tabSelected="1" zoomScale="60" zoomScaleNormal="60" workbookViewId="0">
      <pane ySplit="6" topLeftCell="A7" activePane="bottomLeft" state="frozen"/>
      <selection pane="bottomLeft" activeCell="F37" sqref="F37"/>
    </sheetView>
  </sheetViews>
  <sheetFormatPr defaultColWidth="8.6640625" defaultRowHeight="14.4" x14ac:dyDescent="0.3"/>
  <cols>
    <col min="1" max="1" width="2.6640625" customWidth="1"/>
    <col min="2" max="2" width="48" customWidth="1"/>
    <col min="3" max="3" width="30" customWidth="1"/>
    <col min="4" max="4" width="13" customWidth="1"/>
    <col min="5" max="5" width="14" style="2" customWidth="1"/>
    <col min="6" max="7" width="14" customWidth="1"/>
    <col min="8" max="8" width="9" hidden="1" customWidth="1"/>
    <col min="9" max="128" width="4.21875" customWidth="1"/>
  </cols>
  <sheetData>
    <row r="1" spans="1:128" ht="30" customHeight="1" x14ac:dyDescent="0.3">
      <c r="B1" s="71" t="s">
        <v>0</v>
      </c>
      <c r="C1" s="71"/>
      <c r="D1" s="71"/>
      <c r="E1" s="71"/>
      <c r="F1" s="71"/>
      <c r="G1" s="71"/>
      <c r="H1" s="3" t="s">
        <v>1</v>
      </c>
      <c r="I1" s="4"/>
      <c r="J1" s="72"/>
      <c r="K1" s="72"/>
      <c r="L1" s="72"/>
      <c r="M1" s="72"/>
      <c r="N1" s="72"/>
      <c r="O1" s="72"/>
      <c r="P1" s="72"/>
      <c r="Q1" s="72"/>
      <c r="R1" s="72"/>
      <c r="S1" s="72"/>
      <c r="T1" s="72"/>
      <c r="U1" s="72"/>
      <c r="V1" s="72"/>
      <c r="W1" s="72"/>
      <c r="X1" s="72"/>
      <c r="Y1" s="72"/>
      <c r="Z1" s="72"/>
      <c r="AA1" s="72"/>
    </row>
    <row r="2" spans="1:128" ht="22.5" customHeight="1" x14ac:dyDescent="0.3">
      <c r="B2" s="5" t="s">
        <v>2</v>
      </c>
      <c r="C2" s="6" t="s">
        <v>3</v>
      </c>
      <c r="D2" s="7" t="s">
        <v>4</v>
      </c>
      <c r="E2" s="73">
        <v>46237</v>
      </c>
      <c r="F2" s="73"/>
    </row>
    <row r="3" spans="1:128" ht="27.75" customHeight="1" x14ac:dyDescent="0.3">
      <c r="B3" s="5" t="s">
        <v>5</v>
      </c>
      <c r="C3" s="74" t="s">
        <v>6</v>
      </c>
      <c r="D3" s="74"/>
      <c r="E3" s="74"/>
      <c r="F3" s="5" t="s">
        <v>7</v>
      </c>
      <c r="G3" s="8">
        <v>46271</v>
      </c>
    </row>
    <row r="4" spans="1:128" ht="22.5" customHeight="1" x14ac:dyDescent="0.3">
      <c r="D4" s="7" t="s">
        <v>8</v>
      </c>
      <c r="E4" s="9">
        <v>1</v>
      </c>
      <c r="I4" s="70" t="s">
        <v>9</v>
      </c>
      <c r="J4" s="70"/>
      <c r="K4" s="70"/>
      <c r="L4" s="70"/>
      <c r="M4" s="70"/>
      <c r="N4" s="70"/>
      <c r="O4" s="70"/>
      <c r="P4" s="70" t="s">
        <v>10</v>
      </c>
      <c r="Q4" s="70"/>
      <c r="R4" s="70"/>
      <c r="S4" s="70"/>
      <c r="T4" s="70"/>
      <c r="U4" s="70"/>
      <c r="V4" s="70"/>
      <c r="W4" s="70" t="s">
        <v>11</v>
      </c>
      <c r="X4" s="70"/>
      <c r="Y4" s="70"/>
      <c r="Z4" s="70"/>
      <c r="AA4" s="70"/>
      <c r="AB4" s="70"/>
      <c r="AC4" s="70"/>
      <c r="AD4" s="70" t="s">
        <v>12</v>
      </c>
      <c r="AE4" s="70"/>
      <c r="AF4" s="70"/>
      <c r="AG4" s="70"/>
      <c r="AH4" s="70"/>
      <c r="AI4" s="70"/>
      <c r="AJ4" s="70"/>
      <c r="AK4" s="70" t="s">
        <v>13</v>
      </c>
      <c r="AL4" s="70"/>
      <c r="AM4" s="70"/>
      <c r="AN4" s="70"/>
      <c r="AO4" s="70"/>
      <c r="AP4" s="70"/>
      <c r="AQ4" s="70"/>
      <c r="AR4" s="70" t="s">
        <v>14</v>
      </c>
      <c r="AS4" s="70"/>
      <c r="AT4" s="70"/>
      <c r="AU4" s="70"/>
      <c r="AV4" s="70"/>
      <c r="AW4" s="70"/>
      <c r="AX4" s="70"/>
      <c r="AY4" s="70" t="s">
        <v>15</v>
      </c>
      <c r="AZ4" s="70"/>
      <c r="BA4" s="70"/>
      <c r="BB4" s="70"/>
      <c r="BC4" s="70"/>
      <c r="BD4" s="70"/>
      <c r="BE4" s="70"/>
      <c r="BF4" s="70" t="s">
        <v>16</v>
      </c>
      <c r="BG4" s="70"/>
      <c r="BH4" s="70"/>
      <c r="BI4" s="70"/>
      <c r="BJ4" s="70"/>
      <c r="BK4" s="70"/>
      <c r="BL4" s="70"/>
      <c r="BM4" s="69" t="s">
        <v>17</v>
      </c>
      <c r="BN4" s="69"/>
      <c r="BO4" s="69"/>
      <c r="BP4" s="69"/>
      <c r="BQ4" s="69"/>
      <c r="BR4" s="69"/>
      <c r="BS4" s="69"/>
      <c r="BT4" s="69" t="s">
        <v>18</v>
      </c>
      <c r="BU4" s="69"/>
      <c r="BV4" s="69"/>
      <c r="BW4" s="69"/>
      <c r="BX4" s="69"/>
      <c r="BY4" s="69"/>
      <c r="BZ4" s="69"/>
      <c r="CA4" s="69" t="s">
        <v>19</v>
      </c>
      <c r="CB4" s="69"/>
      <c r="CC4" s="69"/>
      <c r="CD4" s="69"/>
      <c r="CE4" s="69"/>
      <c r="CF4" s="69"/>
      <c r="CG4" s="69"/>
      <c r="CH4" s="69" t="s">
        <v>20</v>
      </c>
      <c r="CI4" s="69"/>
      <c r="CJ4" s="69"/>
      <c r="CK4" s="69"/>
      <c r="CL4" s="69"/>
      <c r="CM4" s="69"/>
      <c r="CN4" s="69"/>
      <c r="CO4" s="69" t="s">
        <v>21</v>
      </c>
      <c r="CP4" s="69"/>
      <c r="CQ4" s="69"/>
      <c r="CR4" s="69"/>
      <c r="CS4" s="69"/>
      <c r="CT4" s="69"/>
      <c r="CU4" s="69"/>
      <c r="CV4" s="69" t="s">
        <v>22</v>
      </c>
      <c r="CW4" s="69"/>
      <c r="CX4" s="69"/>
      <c r="CY4" s="69"/>
      <c r="CZ4" s="69"/>
      <c r="DA4" s="69"/>
      <c r="DB4" s="69"/>
      <c r="DC4" s="69" t="s">
        <v>23</v>
      </c>
      <c r="DD4" s="69"/>
      <c r="DE4" s="69"/>
      <c r="DF4" s="69"/>
      <c r="DG4" s="69"/>
      <c r="DH4" s="69"/>
      <c r="DI4" s="69"/>
      <c r="DJ4" s="69" t="s">
        <v>24</v>
      </c>
      <c r="DK4" s="69"/>
      <c r="DL4" s="69"/>
      <c r="DM4" s="69"/>
      <c r="DN4" s="69"/>
      <c r="DO4" s="69"/>
      <c r="DP4" s="69"/>
      <c r="DQ4" s="69" t="s">
        <v>25</v>
      </c>
      <c r="DR4" s="69"/>
      <c r="DS4" s="69"/>
      <c r="DT4" s="69"/>
      <c r="DU4" s="69"/>
      <c r="DV4" s="69"/>
      <c r="DW4" s="69"/>
      <c r="DX4" s="1" t="s">
        <v>26</v>
      </c>
    </row>
    <row r="5" spans="1:128" ht="19.5" customHeight="1" x14ac:dyDescent="0.3">
      <c r="A5" s="10"/>
      <c r="B5" s="11" t="s">
        <v>27</v>
      </c>
      <c r="C5" s="11" t="s">
        <v>28</v>
      </c>
      <c r="D5" s="11" t="s">
        <v>29</v>
      </c>
      <c r="E5" s="11" t="s">
        <v>30</v>
      </c>
      <c r="F5" s="11" t="s">
        <v>31</v>
      </c>
      <c r="G5" s="12"/>
      <c r="H5" s="11" t="s">
        <v>32</v>
      </c>
      <c r="I5" s="13">
        <v>3</v>
      </c>
      <c r="J5" s="14">
        <v>4</v>
      </c>
      <c r="K5" s="14">
        <v>5</v>
      </c>
      <c r="L5" s="14">
        <v>6</v>
      </c>
      <c r="M5" s="14">
        <v>7</v>
      </c>
      <c r="N5" s="14">
        <v>8</v>
      </c>
      <c r="O5" s="15">
        <v>9</v>
      </c>
      <c r="P5" s="13">
        <v>10</v>
      </c>
      <c r="Q5" s="14">
        <v>11</v>
      </c>
      <c r="R5" s="14">
        <v>12</v>
      </c>
      <c r="S5" s="14">
        <v>13</v>
      </c>
      <c r="T5" s="14">
        <v>14</v>
      </c>
      <c r="U5" s="14">
        <v>15</v>
      </c>
      <c r="V5" s="15">
        <v>16</v>
      </c>
      <c r="W5" s="13">
        <v>17</v>
      </c>
      <c r="X5" s="14">
        <v>18</v>
      </c>
      <c r="Y5" s="14">
        <v>19</v>
      </c>
      <c r="Z5" s="14">
        <v>20</v>
      </c>
      <c r="AA5" s="14">
        <v>21</v>
      </c>
      <c r="AB5" s="14">
        <v>22</v>
      </c>
      <c r="AC5" s="15">
        <v>23</v>
      </c>
      <c r="AD5" s="13">
        <v>24</v>
      </c>
      <c r="AE5" s="14">
        <v>25</v>
      </c>
      <c r="AF5" s="14">
        <v>26</v>
      </c>
      <c r="AG5" s="14">
        <v>27</v>
      </c>
      <c r="AH5" s="14">
        <v>28</v>
      </c>
      <c r="AI5" s="14">
        <v>29</v>
      </c>
      <c r="AJ5" s="15">
        <v>30</v>
      </c>
      <c r="AK5" s="13">
        <v>31</v>
      </c>
      <c r="AL5" s="14">
        <v>1</v>
      </c>
      <c r="AM5" s="14">
        <v>2</v>
      </c>
      <c r="AN5" s="14">
        <v>3</v>
      </c>
      <c r="AO5" s="14">
        <v>4</v>
      </c>
      <c r="AP5" s="14">
        <v>5</v>
      </c>
      <c r="AQ5" s="16">
        <v>6</v>
      </c>
      <c r="AR5" s="13">
        <v>7</v>
      </c>
      <c r="AS5" s="14">
        <v>8</v>
      </c>
      <c r="AT5" s="14">
        <v>9</v>
      </c>
      <c r="AU5" s="14">
        <v>10</v>
      </c>
      <c r="AV5" s="14">
        <v>11</v>
      </c>
      <c r="AW5" s="14">
        <v>12</v>
      </c>
      <c r="AX5" s="15">
        <v>13</v>
      </c>
      <c r="AY5" s="13">
        <v>14</v>
      </c>
      <c r="AZ5" s="14">
        <v>15</v>
      </c>
      <c r="BA5" s="14">
        <v>16</v>
      </c>
      <c r="BB5" s="14">
        <v>17</v>
      </c>
      <c r="BC5" s="14">
        <v>18</v>
      </c>
      <c r="BD5" s="14">
        <v>19</v>
      </c>
      <c r="BE5" s="15">
        <v>20</v>
      </c>
      <c r="BF5" s="13">
        <v>21</v>
      </c>
      <c r="BG5" s="14">
        <v>22</v>
      </c>
      <c r="BH5" s="14">
        <v>23</v>
      </c>
      <c r="BI5" s="14">
        <v>24</v>
      </c>
      <c r="BJ5" s="14">
        <v>25</v>
      </c>
      <c r="BK5" s="14">
        <v>26</v>
      </c>
      <c r="BL5" s="15">
        <v>27</v>
      </c>
      <c r="BM5" s="17">
        <v>28</v>
      </c>
      <c r="BN5" s="17">
        <v>29</v>
      </c>
      <c r="BO5" s="17">
        <v>30</v>
      </c>
      <c r="BP5" s="17">
        <v>1</v>
      </c>
      <c r="BQ5" s="17">
        <v>2</v>
      </c>
      <c r="BR5" s="17">
        <v>3</v>
      </c>
      <c r="BS5" s="17">
        <v>4</v>
      </c>
      <c r="BT5" s="17">
        <v>5</v>
      </c>
      <c r="BU5" s="17">
        <v>6</v>
      </c>
      <c r="BV5" s="17">
        <v>7</v>
      </c>
      <c r="BW5" s="17">
        <v>8</v>
      </c>
      <c r="BX5" s="17">
        <v>9</v>
      </c>
      <c r="BY5" s="17">
        <v>10</v>
      </c>
      <c r="BZ5" s="17">
        <v>11</v>
      </c>
      <c r="CA5" s="17">
        <v>12</v>
      </c>
      <c r="CB5" s="17">
        <v>13</v>
      </c>
      <c r="CC5" s="17">
        <v>14</v>
      </c>
      <c r="CD5" s="17">
        <v>15</v>
      </c>
      <c r="CE5" s="17">
        <v>16</v>
      </c>
      <c r="CF5" s="17">
        <v>17</v>
      </c>
      <c r="CG5" s="17">
        <v>18</v>
      </c>
      <c r="CH5" s="17">
        <v>19</v>
      </c>
      <c r="CI5" s="17">
        <v>20</v>
      </c>
      <c r="CJ5" s="17">
        <v>21</v>
      </c>
      <c r="CK5" s="17">
        <v>22</v>
      </c>
      <c r="CL5" s="17">
        <v>23</v>
      </c>
      <c r="CM5" s="17">
        <v>24</v>
      </c>
      <c r="CN5" s="17">
        <v>25</v>
      </c>
      <c r="CO5" s="17">
        <v>26</v>
      </c>
      <c r="CP5" s="17">
        <v>27</v>
      </c>
      <c r="CQ5" s="17">
        <v>28</v>
      </c>
      <c r="CR5" s="17">
        <v>29</v>
      </c>
      <c r="CS5" s="17">
        <v>30</v>
      </c>
      <c r="CT5" s="17">
        <v>31</v>
      </c>
      <c r="CU5" s="17">
        <v>1</v>
      </c>
      <c r="CV5" s="17">
        <v>2</v>
      </c>
      <c r="CW5" s="17">
        <v>3</v>
      </c>
      <c r="CX5" s="17">
        <v>4</v>
      </c>
      <c r="CY5" s="17">
        <v>5</v>
      </c>
      <c r="CZ5" s="17">
        <v>6</v>
      </c>
      <c r="DA5" s="17">
        <v>7</v>
      </c>
      <c r="DB5" s="17">
        <v>8</v>
      </c>
      <c r="DC5" s="17">
        <v>9</v>
      </c>
      <c r="DD5" s="17">
        <v>10</v>
      </c>
      <c r="DE5" s="17">
        <v>11</v>
      </c>
      <c r="DF5" s="17">
        <v>12</v>
      </c>
      <c r="DG5" s="17">
        <v>13</v>
      </c>
      <c r="DH5" s="17">
        <v>14</v>
      </c>
      <c r="DI5" s="17">
        <v>15</v>
      </c>
      <c r="DJ5" s="17">
        <v>16</v>
      </c>
      <c r="DK5" s="17">
        <v>17</v>
      </c>
      <c r="DL5" s="17">
        <v>18</v>
      </c>
      <c r="DM5" s="17">
        <v>19</v>
      </c>
      <c r="DN5" s="17">
        <v>20</v>
      </c>
      <c r="DO5" s="17">
        <v>21</v>
      </c>
      <c r="DP5" s="17">
        <v>22</v>
      </c>
      <c r="DQ5" s="17">
        <v>23</v>
      </c>
      <c r="DR5" s="17">
        <v>24</v>
      </c>
      <c r="DS5" s="17">
        <v>25</v>
      </c>
      <c r="DT5" s="17">
        <v>26</v>
      </c>
      <c r="DU5" s="17">
        <v>27</v>
      </c>
      <c r="DV5" s="17">
        <v>28</v>
      </c>
      <c r="DW5" s="17">
        <v>29</v>
      </c>
      <c r="DX5" s="17">
        <v>30</v>
      </c>
    </row>
    <row r="6" spans="1:128" ht="19.5" customHeight="1" x14ac:dyDescent="0.3">
      <c r="A6" s="18"/>
      <c r="B6" s="19" t="s">
        <v>27</v>
      </c>
      <c r="C6" s="20" t="s">
        <v>33</v>
      </c>
      <c r="D6" s="20" t="s">
        <v>29</v>
      </c>
      <c r="E6" s="20" t="s">
        <v>30</v>
      </c>
      <c r="F6" s="20" t="s">
        <v>31</v>
      </c>
      <c r="G6" s="20"/>
      <c r="H6" s="20" t="s">
        <v>32</v>
      </c>
      <c r="I6" s="21" t="s">
        <v>34</v>
      </c>
      <c r="J6" s="21" t="s">
        <v>35</v>
      </c>
      <c r="K6" s="21" t="s">
        <v>36</v>
      </c>
      <c r="L6" s="21" t="s">
        <v>35</v>
      </c>
      <c r="M6" s="21" t="s">
        <v>37</v>
      </c>
      <c r="N6" s="21" t="s">
        <v>38</v>
      </c>
      <c r="O6" s="21" t="s">
        <v>38</v>
      </c>
      <c r="P6" s="21" t="s">
        <v>34</v>
      </c>
      <c r="Q6" s="21" t="s">
        <v>35</v>
      </c>
      <c r="R6" s="21" t="s">
        <v>36</v>
      </c>
      <c r="S6" s="21" t="s">
        <v>35</v>
      </c>
      <c r="T6" s="21" t="s">
        <v>37</v>
      </c>
      <c r="U6" s="21" t="s">
        <v>38</v>
      </c>
      <c r="V6" s="21" t="s">
        <v>38</v>
      </c>
      <c r="W6" s="21" t="s">
        <v>34</v>
      </c>
      <c r="X6" s="21" t="s">
        <v>35</v>
      </c>
      <c r="Y6" s="21" t="s">
        <v>36</v>
      </c>
      <c r="Z6" s="21" t="s">
        <v>35</v>
      </c>
      <c r="AA6" s="21" t="s">
        <v>37</v>
      </c>
      <c r="AB6" s="21" t="s">
        <v>38</v>
      </c>
      <c r="AC6" s="21" t="s">
        <v>38</v>
      </c>
      <c r="AD6" s="21" t="s">
        <v>34</v>
      </c>
      <c r="AE6" s="21" t="s">
        <v>35</v>
      </c>
      <c r="AF6" s="21" t="s">
        <v>36</v>
      </c>
      <c r="AG6" s="21" t="s">
        <v>35</v>
      </c>
      <c r="AH6" s="21" t="s">
        <v>37</v>
      </c>
      <c r="AI6" s="21" t="s">
        <v>38</v>
      </c>
      <c r="AJ6" s="21" t="s">
        <v>38</v>
      </c>
      <c r="AK6" s="21" t="s">
        <v>34</v>
      </c>
      <c r="AL6" s="21" t="s">
        <v>35</v>
      </c>
      <c r="AM6" s="21" t="s">
        <v>36</v>
      </c>
      <c r="AN6" s="21" t="s">
        <v>35</v>
      </c>
      <c r="AO6" s="21" t="s">
        <v>37</v>
      </c>
      <c r="AP6" s="21" t="s">
        <v>38</v>
      </c>
      <c r="AQ6" s="22" t="s">
        <v>38</v>
      </c>
      <c r="AR6" s="21" t="s">
        <v>34</v>
      </c>
      <c r="AS6" s="21" t="s">
        <v>35</v>
      </c>
      <c r="AT6" s="21" t="s">
        <v>36</v>
      </c>
      <c r="AU6" s="21" t="s">
        <v>35</v>
      </c>
      <c r="AV6" s="21" t="s">
        <v>37</v>
      </c>
      <c r="AW6" s="21" t="s">
        <v>38</v>
      </c>
      <c r="AX6" s="21" t="s">
        <v>38</v>
      </c>
      <c r="AY6" s="21" t="s">
        <v>34</v>
      </c>
      <c r="AZ6" s="21" t="s">
        <v>35</v>
      </c>
      <c r="BA6" s="21" t="s">
        <v>36</v>
      </c>
      <c r="BB6" s="21" t="s">
        <v>35</v>
      </c>
      <c r="BC6" s="21" t="s">
        <v>37</v>
      </c>
      <c r="BD6" s="21" t="s">
        <v>38</v>
      </c>
      <c r="BE6" s="21" t="s">
        <v>38</v>
      </c>
      <c r="BF6" s="21" t="s">
        <v>34</v>
      </c>
      <c r="BG6" s="21" t="s">
        <v>35</v>
      </c>
      <c r="BH6" s="21" t="s">
        <v>36</v>
      </c>
      <c r="BI6" s="21" t="s">
        <v>35</v>
      </c>
      <c r="BJ6" s="21" t="s">
        <v>37</v>
      </c>
      <c r="BK6" s="21" t="s">
        <v>38</v>
      </c>
      <c r="BL6" s="21" t="s">
        <v>38</v>
      </c>
      <c r="BM6" s="23" t="s">
        <v>34</v>
      </c>
      <c r="BN6" s="23" t="s">
        <v>35</v>
      </c>
      <c r="BO6" s="23" t="s">
        <v>36</v>
      </c>
      <c r="BP6" s="23" t="s">
        <v>35</v>
      </c>
      <c r="BQ6" s="23" t="s">
        <v>37</v>
      </c>
      <c r="BR6" s="23" t="s">
        <v>38</v>
      </c>
      <c r="BS6" s="23" t="s">
        <v>38</v>
      </c>
      <c r="BT6" s="23" t="s">
        <v>34</v>
      </c>
      <c r="BU6" s="23" t="s">
        <v>35</v>
      </c>
      <c r="BV6" s="23" t="s">
        <v>36</v>
      </c>
      <c r="BW6" s="23" t="s">
        <v>35</v>
      </c>
      <c r="BX6" s="23" t="s">
        <v>37</v>
      </c>
      <c r="BY6" s="23" t="s">
        <v>38</v>
      </c>
      <c r="BZ6" s="23" t="s">
        <v>38</v>
      </c>
      <c r="CA6" s="23" t="s">
        <v>34</v>
      </c>
      <c r="CB6" s="23" t="s">
        <v>35</v>
      </c>
      <c r="CC6" s="23" t="s">
        <v>36</v>
      </c>
      <c r="CD6" s="23" t="s">
        <v>35</v>
      </c>
      <c r="CE6" s="23" t="s">
        <v>37</v>
      </c>
      <c r="CF6" s="23" t="s">
        <v>38</v>
      </c>
      <c r="CG6" s="23" t="s">
        <v>38</v>
      </c>
      <c r="CH6" s="23" t="s">
        <v>34</v>
      </c>
      <c r="CI6" s="23" t="s">
        <v>35</v>
      </c>
      <c r="CJ6" s="23" t="s">
        <v>36</v>
      </c>
      <c r="CK6" s="23" t="s">
        <v>35</v>
      </c>
      <c r="CL6" s="23" t="s">
        <v>37</v>
      </c>
      <c r="CM6" s="23" t="s">
        <v>38</v>
      </c>
      <c r="CN6" s="23" t="s">
        <v>38</v>
      </c>
      <c r="CO6" s="23" t="s">
        <v>34</v>
      </c>
      <c r="CP6" s="23" t="s">
        <v>35</v>
      </c>
      <c r="CQ6" s="23" t="s">
        <v>36</v>
      </c>
      <c r="CR6" s="23" t="s">
        <v>35</v>
      </c>
      <c r="CS6" s="23" t="s">
        <v>37</v>
      </c>
      <c r="CT6" s="23" t="s">
        <v>38</v>
      </c>
      <c r="CU6" s="23" t="s">
        <v>38</v>
      </c>
      <c r="CV6" s="23" t="s">
        <v>34</v>
      </c>
      <c r="CW6" s="23" t="s">
        <v>35</v>
      </c>
      <c r="CX6" s="23" t="s">
        <v>36</v>
      </c>
      <c r="CY6" s="23" t="s">
        <v>35</v>
      </c>
      <c r="CZ6" s="23" t="s">
        <v>37</v>
      </c>
      <c r="DA6" s="23" t="s">
        <v>38</v>
      </c>
      <c r="DB6" s="23" t="s">
        <v>38</v>
      </c>
      <c r="DC6" s="23" t="s">
        <v>34</v>
      </c>
      <c r="DD6" s="23" t="s">
        <v>35</v>
      </c>
      <c r="DE6" s="23" t="s">
        <v>36</v>
      </c>
      <c r="DF6" s="23" t="s">
        <v>35</v>
      </c>
      <c r="DG6" s="23" t="s">
        <v>37</v>
      </c>
      <c r="DH6" s="23" t="s">
        <v>38</v>
      </c>
      <c r="DI6" s="23" t="s">
        <v>38</v>
      </c>
      <c r="DJ6" s="23" t="s">
        <v>34</v>
      </c>
      <c r="DK6" s="23" t="s">
        <v>35</v>
      </c>
      <c r="DL6" s="23" t="s">
        <v>36</v>
      </c>
      <c r="DM6" s="23" t="s">
        <v>35</v>
      </c>
      <c r="DN6" s="23" t="s">
        <v>37</v>
      </c>
      <c r="DO6" s="23" t="s">
        <v>38</v>
      </c>
      <c r="DP6" s="23" t="s">
        <v>38</v>
      </c>
      <c r="DQ6" s="23" t="s">
        <v>34</v>
      </c>
      <c r="DR6" s="23" t="s">
        <v>35</v>
      </c>
      <c r="DS6" s="23" t="s">
        <v>36</v>
      </c>
      <c r="DT6" s="23" t="s">
        <v>35</v>
      </c>
      <c r="DU6" s="23" t="s">
        <v>37</v>
      </c>
      <c r="DV6" s="23" t="s">
        <v>38</v>
      </c>
      <c r="DW6" s="23" t="s">
        <v>38</v>
      </c>
      <c r="DX6" s="23" t="s">
        <v>34</v>
      </c>
    </row>
    <row r="7" spans="1:128" s="32" customFormat="1" ht="21.75" customHeight="1" x14ac:dyDescent="0.3">
      <c r="A7" s="18"/>
      <c r="B7" s="24"/>
      <c r="C7" s="25"/>
      <c r="D7" s="26"/>
      <c r="E7" s="27"/>
      <c r="F7" s="28"/>
      <c r="G7" s="29"/>
      <c r="H7" s="29" t="str">
        <f>IF(OR(ISBLANK(task_start),ISBLANK(task_end)),"",task_end-task_start+1)</f>
        <v/>
      </c>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1"/>
      <c r="AR7" s="30"/>
      <c r="AS7" s="30"/>
      <c r="AT7" s="30"/>
      <c r="AU7" s="30"/>
      <c r="AV7" s="30"/>
      <c r="AW7" s="30"/>
      <c r="AX7" s="30"/>
      <c r="AY7" s="30"/>
      <c r="AZ7" s="30"/>
      <c r="BA7" s="30"/>
      <c r="BB7" s="30"/>
      <c r="BC7" s="30"/>
      <c r="BD7" s="30"/>
      <c r="BE7" s="30"/>
      <c r="BF7" s="30"/>
      <c r="BG7" s="30"/>
      <c r="BH7" s="30"/>
      <c r="BI7" s="30"/>
      <c r="BJ7" s="30"/>
      <c r="BK7" s="30"/>
      <c r="BL7" s="30"/>
    </row>
    <row r="8" spans="1:128" s="32" customFormat="1" ht="24.75" customHeight="1" x14ac:dyDescent="0.3">
      <c r="A8" s="18"/>
      <c r="B8" s="67" t="s">
        <v>39</v>
      </c>
      <c r="C8" s="67"/>
      <c r="D8" s="67"/>
      <c r="E8" s="67"/>
      <c r="F8" s="67"/>
      <c r="G8" s="67"/>
      <c r="H8" s="67"/>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1"/>
      <c r="AR8" s="30"/>
      <c r="AS8" s="30"/>
      <c r="AT8" s="30"/>
      <c r="AU8" s="30"/>
      <c r="AV8" s="30"/>
      <c r="AW8" s="30"/>
      <c r="AX8" s="30"/>
      <c r="AY8" s="30"/>
      <c r="AZ8" s="30"/>
      <c r="BA8" s="30"/>
      <c r="BB8" s="30"/>
      <c r="BC8" s="30"/>
      <c r="BD8" s="30"/>
      <c r="BE8" s="30"/>
      <c r="BF8" s="30"/>
      <c r="BG8" s="30"/>
      <c r="BH8" s="30"/>
      <c r="BI8" s="30"/>
      <c r="BJ8" s="30"/>
      <c r="BK8" s="30"/>
      <c r="BL8" s="30"/>
    </row>
    <row r="9" spans="1:128" s="32" customFormat="1" ht="24.75" customHeight="1" x14ac:dyDescent="0.3">
      <c r="A9" s="18"/>
      <c r="B9" s="33" t="s">
        <v>40</v>
      </c>
      <c r="C9" s="33" t="s">
        <v>41</v>
      </c>
      <c r="D9" s="34">
        <v>1</v>
      </c>
      <c r="E9" s="35">
        <v>46237</v>
      </c>
      <c r="F9" s="36">
        <v>46238</v>
      </c>
      <c r="G9" s="29"/>
      <c r="H9" s="37">
        <f>IF(OR(ISBLANK(E9),ISBLANK(F9)),"",F9-E9+1)</f>
        <v>2</v>
      </c>
      <c r="I9" s="38"/>
      <c r="J9" s="38"/>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1"/>
      <c r="AR9" s="30"/>
      <c r="AS9" s="30"/>
      <c r="AT9" s="30"/>
      <c r="AU9" s="30"/>
      <c r="AV9" s="30"/>
      <c r="AW9" s="30"/>
      <c r="AX9" s="30"/>
      <c r="AY9" s="30"/>
      <c r="AZ9" s="30"/>
      <c r="BA9" s="30"/>
      <c r="BB9" s="30"/>
      <c r="BC9" s="30"/>
      <c r="BD9" s="30"/>
      <c r="BE9" s="30"/>
      <c r="BF9" s="30"/>
      <c r="BG9" s="30"/>
      <c r="BH9" s="30"/>
      <c r="BI9" s="30"/>
      <c r="BJ9" s="30"/>
      <c r="BK9" s="30"/>
      <c r="BL9" s="30"/>
    </row>
    <row r="10" spans="1:128" s="32" customFormat="1" ht="24.75" customHeight="1" x14ac:dyDescent="0.3">
      <c r="A10" s="18"/>
      <c r="B10" s="33" t="s">
        <v>42</v>
      </c>
      <c r="C10" s="33" t="s">
        <v>43</v>
      </c>
      <c r="D10" s="34">
        <v>1</v>
      </c>
      <c r="E10" s="35">
        <v>46239</v>
      </c>
      <c r="F10" s="36">
        <v>46241</v>
      </c>
      <c r="G10" s="29"/>
      <c r="H10" s="37">
        <f>IF(OR(ISBLANK(E10),ISBLANK(F10)),"",F10-E10+1)</f>
        <v>3</v>
      </c>
      <c r="I10" s="30"/>
      <c r="J10" s="30"/>
      <c r="K10" s="38"/>
      <c r="L10" s="38"/>
      <c r="M10" s="38"/>
      <c r="N10" s="30"/>
      <c r="O10" s="30"/>
      <c r="P10" s="30"/>
      <c r="Q10" s="30"/>
      <c r="R10" s="30"/>
      <c r="S10" s="30"/>
      <c r="T10" s="30"/>
      <c r="U10" s="39"/>
      <c r="V10" s="39"/>
      <c r="W10" s="30"/>
      <c r="X10" s="30"/>
      <c r="Y10" s="30"/>
      <c r="Z10" s="30"/>
      <c r="AA10" s="30"/>
      <c r="AB10" s="30"/>
      <c r="AC10" s="30"/>
      <c r="AD10" s="30"/>
      <c r="AE10" s="30"/>
      <c r="AF10" s="30"/>
      <c r="AG10" s="30"/>
      <c r="AH10" s="30"/>
      <c r="AI10" s="30"/>
      <c r="AJ10" s="30"/>
      <c r="AK10" s="30"/>
      <c r="AL10" s="30"/>
      <c r="AM10" s="30"/>
      <c r="AN10" s="30"/>
      <c r="AO10" s="30"/>
      <c r="AP10" s="30"/>
      <c r="AQ10" s="31"/>
      <c r="AR10" s="30"/>
      <c r="AS10" s="30"/>
      <c r="AT10" s="30"/>
      <c r="AU10" s="30"/>
      <c r="AV10" s="30"/>
      <c r="AW10" s="30"/>
      <c r="AX10" s="30"/>
      <c r="AY10" s="30"/>
      <c r="AZ10" s="30"/>
      <c r="BA10" s="30"/>
      <c r="BB10" s="30"/>
      <c r="BC10" s="30"/>
      <c r="BD10" s="30"/>
      <c r="BE10" s="30"/>
      <c r="BF10" s="30"/>
      <c r="BG10" s="30"/>
      <c r="BH10" s="30"/>
      <c r="BI10" s="30"/>
      <c r="BJ10" s="30"/>
      <c r="BK10" s="30"/>
      <c r="BL10" s="30"/>
    </row>
    <row r="11" spans="1:128" s="32" customFormat="1" ht="24.75" customHeight="1" x14ac:dyDescent="0.3">
      <c r="A11" s="18"/>
      <c r="B11" s="33" t="s">
        <v>44</v>
      </c>
      <c r="C11" s="33" t="s">
        <v>45</v>
      </c>
      <c r="D11" s="34">
        <v>1</v>
      </c>
      <c r="E11" s="35">
        <v>46242</v>
      </c>
      <c r="F11" s="36">
        <v>46244</v>
      </c>
      <c r="G11" s="29"/>
      <c r="H11" s="37">
        <f>IF(OR(ISBLANK(E11),ISBLANK(F11)),"",F11-E11+1)</f>
        <v>3</v>
      </c>
      <c r="I11" s="30"/>
      <c r="J11" s="30"/>
      <c r="K11" s="30"/>
      <c r="M11" s="30"/>
      <c r="N11" s="38"/>
      <c r="O11" s="38"/>
      <c r="P11" s="38"/>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1"/>
      <c r="AR11" s="30"/>
      <c r="AS11" s="30"/>
      <c r="AT11" s="30"/>
      <c r="AU11" s="30"/>
      <c r="AV11" s="30"/>
      <c r="AW11" s="30"/>
      <c r="AX11" s="30"/>
      <c r="AY11" s="30"/>
      <c r="AZ11" s="30"/>
      <c r="BA11" s="30"/>
      <c r="BB11" s="30"/>
      <c r="BC11" s="30"/>
      <c r="BD11" s="30"/>
      <c r="BE11" s="30"/>
      <c r="BF11" s="30"/>
      <c r="BG11" s="30"/>
      <c r="BH11" s="30"/>
      <c r="BI11" s="30"/>
      <c r="BJ11" s="30"/>
      <c r="BK11" s="30"/>
      <c r="BL11" s="30"/>
    </row>
    <row r="12" spans="1:128" s="32" customFormat="1" ht="24.75" customHeight="1" x14ac:dyDescent="0.3">
      <c r="A12" s="18"/>
      <c r="B12" s="33" t="s">
        <v>46</v>
      </c>
      <c r="C12" s="33" t="s">
        <v>45</v>
      </c>
      <c r="D12" s="34">
        <v>1</v>
      </c>
      <c r="E12" s="35">
        <v>46243</v>
      </c>
      <c r="F12" s="36">
        <v>46244</v>
      </c>
      <c r="G12" s="29"/>
      <c r="H12" s="37">
        <f>IF(OR(ISBLANK(E12),ISBLANK(F12)),"",F12-E12+1)</f>
        <v>2</v>
      </c>
      <c r="I12" s="30"/>
      <c r="J12" s="30"/>
      <c r="K12" s="30"/>
      <c r="L12" s="30"/>
      <c r="M12" s="30"/>
      <c r="N12" s="30"/>
      <c r="O12" s="38"/>
      <c r="P12" s="38"/>
      <c r="Q12" s="30"/>
      <c r="R12" s="30"/>
      <c r="S12" s="30"/>
      <c r="T12" s="30"/>
      <c r="U12" s="30"/>
      <c r="V12" s="30"/>
      <c r="W12" s="30"/>
      <c r="X12" s="30"/>
      <c r="Y12" s="39"/>
      <c r="Z12" s="30"/>
      <c r="AA12" s="30"/>
      <c r="AB12" s="30"/>
      <c r="AC12" s="30"/>
      <c r="AD12" s="30"/>
      <c r="AE12" s="30"/>
      <c r="AF12" s="30"/>
      <c r="AG12" s="30"/>
      <c r="AH12" s="30"/>
      <c r="AI12" s="30"/>
      <c r="AJ12" s="30"/>
      <c r="AK12" s="30"/>
      <c r="AL12" s="30"/>
      <c r="AM12" s="30"/>
      <c r="AN12" s="30"/>
      <c r="AO12" s="30"/>
      <c r="AP12" s="30"/>
      <c r="AQ12" s="31"/>
      <c r="AR12" s="30"/>
      <c r="AS12" s="30"/>
      <c r="AT12" s="30"/>
      <c r="AU12" s="30"/>
      <c r="AV12" s="30"/>
      <c r="AW12" s="30"/>
      <c r="AX12" s="30"/>
      <c r="AY12" s="30"/>
      <c r="AZ12" s="30"/>
      <c r="BA12" s="30"/>
      <c r="BB12" s="30"/>
      <c r="BC12" s="30"/>
      <c r="BD12" s="30"/>
      <c r="BE12" s="30"/>
      <c r="BF12" s="30"/>
      <c r="BG12" s="30"/>
      <c r="BH12" s="30"/>
      <c r="BI12" s="30"/>
      <c r="BJ12" s="30"/>
      <c r="BK12" s="30"/>
      <c r="BL12" s="30"/>
    </row>
    <row r="13" spans="1:128" s="32" customFormat="1" ht="24.75" customHeight="1" x14ac:dyDescent="0.3">
      <c r="A13" s="18"/>
      <c r="B13" s="33" t="s">
        <v>47</v>
      </c>
      <c r="C13" s="33" t="s">
        <v>48</v>
      </c>
      <c r="D13" s="34">
        <v>1</v>
      </c>
      <c r="E13" s="35">
        <v>46246</v>
      </c>
      <c r="F13" s="36">
        <v>46250</v>
      </c>
      <c r="G13" s="29"/>
      <c r="H13" s="37">
        <f>IF(OR(ISBLANK(E13),ISBLANK(F13)),"",F13-E13+1)</f>
        <v>5</v>
      </c>
      <c r="I13" s="30"/>
      <c r="J13" s="30"/>
      <c r="K13" s="30"/>
      <c r="L13" s="30"/>
      <c r="M13" s="30"/>
      <c r="N13" s="30"/>
      <c r="O13" s="30"/>
      <c r="P13" s="30"/>
      <c r="Q13" s="30"/>
      <c r="R13" s="38"/>
      <c r="S13" s="38"/>
      <c r="T13" s="38"/>
      <c r="U13" s="38"/>
      <c r="V13" s="38"/>
      <c r="W13" s="30"/>
      <c r="X13" s="30"/>
      <c r="Y13" s="30"/>
      <c r="Z13" s="30"/>
      <c r="AA13" s="30"/>
      <c r="AB13" s="30"/>
      <c r="AC13" s="30"/>
      <c r="AD13" s="30"/>
      <c r="AE13" s="30"/>
      <c r="AF13" s="30"/>
      <c r="AG13" s="30"/>
      <c r="AH13" s="30"/>
      <c r="AI13" s="30"/>
      <c r="AJ13" s="30"/>
      <c r="AK13" s="30"/>
      <c r="AL13" s="30"/>
      <c r="AM13" s="30"/>
      <c r="AN13" s="30"/>
      <c r="AO13" s="30"/>
      <c r="AP13" s="30"/>
      <c r="AQ13" s="31"/>
      <c r="AR13" s="30"/>
      <c r="AS13" s="30"/>
      <c r="AT13" s="30"/>
      <c r="AU13" s="30"/>
      <c r="AV13" s="30"/>
      <c r="AW13" s="30"/>
      <c r="AX13" s="30"/>
      <c r="AY13" s="30"/>
      <c r="AZ13" s="30"/>
      <c r="BA13" s="30"/>
      <c r="BB13" s="30"/>
      <c r="BC13" s="30"/>
      <c r="BD13" s="30"/>
      <c r="BE13" s="30"/>
      <c r="BF13" s="30"/>
      <c r="BG13" s="30"/>
      <c r="BH13" s="30"/>
      <c r="BI13" s="30"/>
      <c r="BJ13" s="30"/>
      <c r="BK13" s="30"/>
      <c r="BL13" s="30"/>
    </row>
    <row r="14" spans="1:128" s="32" customFormat="1" ht="24.75" customHeight="1" x14ac:dyDescent="0.3">
      <c r="A14" s="18"/>
      <c r="B14" s="67" t="s">
        <v>49</v>
      </c>
      <c r="C14" s="67"/>
      <c r="D14" s="67"/>
      <c r="E14" s="67"/>
      <c r="F14" s="67"/>
      <c r="G14" s="67"/>
      <c r="H14" s="67"/>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1"/>
      <c r="AR14" s="30"/>
      <c r="AS14" s="30"/>
      <c r="AT14" s="30"/>
      <c r="AU14" s="30"/>
      <c r="AV14" s="30"/>
      <c r="AW14" s="30"/>
      <c r="AX14" s="30"/>
      <c r="AY14" s="30"/>
      <c r="AZ14" s="30"/>
      <c r="BA14" s="30"/>
      <c r="BB14" s="30"/>
      <c r="BC14" s="30"/>
      <c r="BD14" s="30"/>
      <c r="BE14" s="30"/>
      <c r="BF14" s="30"/>
      <c r="BG14" s="30"/>
      <c r="BH14" s="30"/>
      <c r="BI14" s="30"/>
      <c r="BJ14" s="30"/>
      <c r="BK14" s="30"/>
      <c r="BL14" s="30"/>
    </row>
    <row r="15" spans="1:128" s="32" customFormat="1" ht="24.75" customHeight="1" x14ac:dyDescent="0.3">
      <c r="A15" s="18"/>
      <c r="B15" s="33" t="s">
        <v>50</v>
      </c>
      <c r="C15" s="33" t="s">
        <v>51</v>
      </c>
      <c r="D15" s="34">
        <v>1</v>
      </c>
      <c r="E15" s="35">
        <v>46252</v>
      </c>
      <c r="F15" s="36">
        <v>46257</v>
      </c>
      <c r="G15" s="29"/>
      <c r="H15" s="37">
        <f>IF(OR(ISBLANK(E15),ISBLANK(F15)),"",F15-E15+1)</f>
        <v>6</v>
      </c>
      <c r="I15" s="30"/>
      <c r="J15" s="30"/>
      <c r="K15" s="30"/>
      <c r="L15" s="30"/>
      <c r="M15" s="30"/>
      <c r="N15" s="30"/>
      <c r="O15" s="30"/>
      <c r="P15" s="30"/>
      <c r="Q15" s="30"/>
      <c r="R15" s="30"/>
      <c r="S15" s="30"/>
      <c r="T15" s="30"/>
      <c r="U15" s="30"/>
      <c r="V15" s="30"/>
      <c r="W15" s="30"/>
      <c r="X15" s="38"/>
      <c r="Y15" s="38"/>
      <c r="Z15" s="38"/>
      <c r="AA15" s="38"/>
      <c r="AB15" s="38"/>
      <c r="AC15" s="38"/>
      <c r="AD15" s="30"/>
      <c r="AE15" s="30"/>
      <c r="AF15" s="30"/>
      <c r="AG15" s="30"/>
      <c r="AH15" s="30"/>
      <c r="AI15" s="30"/>
      <c r="AJ15" s="30"/>
      <c r="AK15" s="30"/>
      <c r="AL15" s="30"/>
      <c r="AM15" s="30"/>
      <c r="AN15" s="30"/>
      <c r="AO15" s="30"/>
      <c r="AP15" s="30"/>
      <c r="AQ15" s="31"/>
      <c r="AR15" s="30"/>
      <c r="AS15" s="30"/>
      <c r="AT15" s="30"/>
      <c r="AU15" s="30"/>
      <c r="AV15" s="30"/>
      <c r="AW15" s="30"/>
      <c r="AX15" s="30"/>
      <c r="AY15" s="30"/>
      <c r="AZ15" s="30"/>
      <c r="BA15" s="30"/>
      <c r="BB15" s="30"/>
      <c r="BC15" s="30"/>
      <c r="BD15" s="30"/>
      <c r="BE15" s="30"/>
      <c r="BF15" s="30"/>
      <c r="BG15" s="30"/>
      <c r="BH15" s="30"/>
      <c r="BI15" s="30"/>
      <c r="BJ15" s="30"/>
      <c r="BK15" s="30"/>
      <c r="BL15" s="30"/>
    </row>
    <row r="16" spans="1:128" s="32" customFormat="1" ht="24.75" customHeight="1" x14ac:dyDescent="0.3">
      <c r="A16" s="18"/>
      <c r="B16" s="33" t="s">
        <v>52</v>
      </c>
      <c r="C16" s="33" t="s">
        <v>53</v>
      </c>
      <c r="D16" s="34">
        <v>1</v>
      </c>
      <c r="E16" s="35">
        <v>46253</v>
      </c>
      <c r="F16" s="36">
        <v>46264</v>
      </c>
      <c r="G16" s="29"/>
      <c r="H16" s="37">
        <f>IF(OR(ISBLANK(E16),ISBLANK(F16)),"",F16-E16+1)</f>
        <v>12</v>
      </c>
      <c r="I16" s="30"/>
      <c r="J16" s="30"/>
      <c r="K16" s="30"/>
      <c r="L16" s="30"/>
      <c r="M16" s="30"/>
      <c r="N16" s="30"/>
      <c r="O16" s="30"/>
      <c r="P16" s="30"/>
      <c r="Q16" s="30"/>
      <c r="R16" s="30"/>
      <c r="S16" s="30"/>
      <c r="T16" s="30"/>
      <c r="U16" s="39"/>
      <c r="V16" s="39"/>
      <c r="W16" s="30"/>
      <c r="X16" s="30"/>
      <c r="Y16" s="38"/>
      <c r="Z16" s="38"/>
      <c r="AA16" s="38"/>
      <c r="AB16" s="38"/>
      <c r="AC16" s="38"/>
      <c r="AD16" s="38"/>
      <c r="AE16" s="38"/>
      <c r="AF16" s="38"/>
      <c r="AG16" s="38"/>
      <c r="AH16" s="38"/>
      <c r="AI16" s="38"/>
      <c r="AJ16" s="38"/>
      <c r="AK16" s="30"/>
      <c r="AL16" s="30"/>
      <c r="AM16" s="30"/>
      <c r="AN16" s="30"/>
      <c r="AO16" s="30"/>
      <c r="AP16" s="30"/>
      <c r="AQ16" s="31"/>
      <c r="AR16" s="30"/>
      <c r="AS16" s="30"/>
      <c r="AT16" s="30"/>
      <c r="AU16" s="30"/>
      <c r="AV16" s="30"/>
      <c r="AW16" s="30"/>
      <c r="AX16" s="30"/>
      <c r="AY16" s="30"/>
      <c r="AZ16" s="30"/>
      <c r="BA16" s="30"/>
      <c r="BB16" s="30"/>
      <c r="BC16" s="30"/>
      <c r="BD16" s="30"/>
      <c r="BE16" s="30"/>
      <c r="BF16" s="30"/>
      <c r="BG16" s="30"/>
      <c r="BH16" s="30"/>
      <c r="BI16" s="30"/>
      <c r="BJ16" s="30"/>
      <c r="BK16" s="30"/>
      <c r="BL16" s="30"/>
    </row>
    <row r="17" spans="1:64" s="32" customFormat="1" ht="24.75" customHeight="1" x14ac:dyDescent="0.3">
      <c r="A17" s="18"/>
      <c r="B17" s="33" t="s">
        <v>54</v>
      </c>
      <c r="C17" s="33" t="s">
        <v>53</v>
      </c>
      <c r="D17" s="34">
        <v>1</v>
      </c>
      <c r="E17" s="35">
        <v>46265</v>
      </c>
      <c r="F17" s="36">
        <v>46272</v>
      </c>
      <c r="G17" s="29"/>
      <c r="H17" s="37">
        <f>IF(OR(ISBLANK(E17),ISBLANK(F17)),"",F17-E17+1)</f>
        <v>8</v>
      </c>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8"/>
      <c r="AL17" s="38"/>
      <c r="AM17" s="38"/>
      <c r="AN17" s="38"/>
      <c r="AO17" s="38"/>
      <c r="AP17" s="38"/>
      <c r="AQ17" s="38"/>
      <c r="AR17" s="38"/>
      <c r="AS17" s="30"/>
      <c r="AT17" s="30"/>
      <c r="AU17" s="30"/>
      <c r="AV17" s="30"/>
      <c r="AW17" s="30"/>
      <c r="AX17" s="30"/>
      <c r="AY17" s="30"/>
      <c r="AZ17" s="30"/>
      <c r="BA17" s="30"/>
      <c r="BB17" s="30"/>
      <c r="BC17" s="30"/>
      <c r="BD17" s="30"/>
      <c r="BE17" s="30"/>
      <c r="BF17" s="30"/>
      <c r="BG17" s="30"/>
      <c r="BH17" s="30"/>
      <c r="BI17" s="30"/>
      <c r="BJ17" s="30"/>
      <c r="BK17" s="30"/>
      <c r="BL17" s="30"/>
    </row>
    <row r="18" spans="1:64" s="32" customFormat="1" ht="24.75" customHeight="1" x14ac:dyDescent="0.3">
      <c r="A18" s="18"/>
      <c r="B18" s="33" t="s">
        <v>55</v>
      </c>
      <c r="C18" s="33" t="s">
        <v>48</v>
      </c>
      <c r="D18" s="34">
        <v>1</v>
      </c>
      <c r="E18" s="35">
        <v>46267</v>
      </c>
      <c r="F18" s="36">
        <v>46277</v>
      </c>
      <c r="G18" s="29"/>
      <c r="H18" s="37">
        <f>IF(OR(ISBLANK(E18),ISBLANK(F18)),"",F18-E18+1)</f>
        <v>11</v>
      </c>
      <c r="I18" s="30"/>
      <c r="J18" s="30"/>
      <c r="K18" s="30"/>
      <c r="L18" s="30"/>
      <c r="M18" s="30"/>
      <c r="N18" s="30"/>
      <c r="O18" s="30"/>
      <c r="P18" s="30"/>
      <c r="Q18" s="30"/>
      <c r="R18" s="30"/>
      <c r="S18" s="30"/>
      <c r="T18" s="30"/>
      <c r="U18" s="30"/>
      <c r="V18" s="30"/>
      <c r="W18" s="30"/>
      <c r="X18" s="30"/>
      <c r="Y18" s="39"/>
      <c r="Z18" s="30"/>
      <c r="AA18" s="30"/>
      <c r="AB18" s="30"/>
      <c r="AC18" s="30"/>
      <c r="AD18" s="30"/>
      <c r="AE18" s="30"/>
      <c r="AF18" s="30"/>
      <c r="AG18" s="30"/>
      <c r="AH18" s="30"/>
      <c r="AI18" s="30"/>
      <c r="AJ18" s="30"/>
      <c r="AK18" s="30"/>
      <c r="AL18" s="30"/>
      <c r="AM18" s="38"/>
      <c r="AN18" s="38"/>
      <c r="AO18" s="38"/>
      <c r="AP18" s="38"/>
      <c r="AQ18" s="38"/>
      <c r="AR18" s="38"/>
      <c r="AS18" s="38"/>
      <c r="AT18" s="38"/>
      <c r="AU18" s="38"/>
      <c r="AV18" s="38"/>
      <c r="AW18" s="38"/>
      <c r="AX18" s="30"/>
      <c r="AY18" s="30"/>
      <c r="AZ18" s="30"/>
      <c r="BA18" s="30"/>
      <c r="BB18" s="30"/>
      <c r="BC18" s="30"/>
      <c r="BD18" s="30"/>
      <c r="BE18" s="30"/>
      <c r="BF18" s="30"/>
      <c r="BG18" s="30"/>
      <c r="BH18" s="30"/>
      <c r="BI18" s="30"/>
      <c r="BJ18" s="30"/>
      <c r="BK18" s="30"/>
      <c r="BL18" s="30"/>
    </row>
    <row r="19" spans="1:64" s="32" customFormat="1" ht="24.75" customHeight="1" x14ac:dyDescent="0.3">
      <c r="A19" s="18"/>
      <c r="B19" s="33" t="s">
        <v>56</v>
      </c>
      <c r="C19" s="33" t="s">
        <v>48</v>
      </c>
      <c r="D19" s="34">
        <v>1</v>
      </c>
      <c r="E19" s="35">
        <v>46269</v>
      </c>
      <c r="F19" s="36">
        <v>46271</v>
      </c>
      <c r="G19" s="29"/>
      <c r="H19" s="37">
        <f>IF(OR(ISBLANK(E19),ISBLANK(F19)),"",F19-E19+1)</f>
        <v>3</v>
      </c>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8"/>
      <c r="AP19" s="38"/>
      <c r="AQ19" s="38"/>
      <c r="AR19" s="30"/>
      <c r="AS19" s="30"/>
      <c r="AT19" s="30"/>
      <c r="AU19" s="30"/>
      <c r="AV19" s="30"/>
      <c r="AW19" s="30"/>
      <c r="AX19" s="30"/>
      <c r="AY19" s="30"/>
      <c r="AZ19" s="30"/>
      <c r="BA19" s="30"/>
      <c r="BB19" s="30"/>
      <c r="BC19" s="30"/>
      <c r="BD19" s="30"/>
      <c r="BE19" s="30"/>
      <c r="BF19" s="30"/>
      <c r="BG19" s="30"/>
      <c r="BH19" s="30"/>
      <c r="BI19" s="30"/>
      <c r="BJ19" s="30"/>
      <c r="BK19" s="30"/>
      <c r="BL19" s="30"/>
    </row>
    <row r="20" spans="1:64" s="32" customFormat="1" ht="24.75" customHeight="1" x14ac:dyDescent="0.3">
      <c r="A20" s="18"/>
      <c r="B20" s="67" t="s">
        <v>57</v>
      </c>
      <c r="C20" s="67"/>
      <c r="D20" s="67"/>
      <c r="E20" s="67"/>
      <c r="F20" s="67"/>
      <c r="G20" s="67"/>
      <c r="H20" s="67"/>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1"/>
      <c r="AR20" s="30"/>
      <c r="AS20" s="30"/>
      <c r="AT20" s="30"/>
      <c r="AU20" s="30"/>
      <c r="AV20" s="30"/>
      <c r="AW20" s="30"/>
      <c r="AX20" s="30"/>
      <c r="AY20" s="30"/>
      <c r="AZ20" s="30"/>
      <c r="BA20" s="30"/>
      <c r="BB20" s="30"/>
      <c r="BC20" s="30"/>
      <c r="BD20" s="30"/>
      <c r="BE20" s="30"/>
      <c r="BF20" s="30"/>
      <c r="BG20" s="30"/>
      <c r="BH20" s="30"/>
      <c r="BI20" s="30"/>
      <c r="BJ20" s="30"/>
      <c r="BK20" s="30"/>
      <c r="BL20" s="30"/>
    </row>
    <row r="21" spans="1:64" s="32" customFormat="1" ht="24.75" customHeight="1" x14ac:dyDescent="0.3">
      <c r="A21" s="18"/>
      <c r="B21" s="33" t="s">
        <v>58</v>
      </c>
      <c r="C21" s="33" t="s">
        <v>48</v>
      </c>
      <c r="D21" s="34">
        <v>1</v>
      </c>
      <c r="E21" s="35">
        <v>46268</v>
      </c>
      <c r="F21" s="36">
        <v>46277</v>
      </c>
      <c r="G21" s="29"/>
      <c r="H21" s="37">
        <f>IF(OR(ISBLANK(E21),ISBLANK(F21)),"",F21-E21+1)</f>
        <v>10</v>
      </c>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8"/>
      <c r="AO21" s="38"/>
      <c r="AP21" s="38"/>
      <c r="AQ21" s="38"/>
      <c r="AR21" s="38"/>
      <c r="AS21" s="38"/>
      <c r="AT21" s="38"/>
      <c r="AU21" s="38"/>
      <c r="AV21" s="38"/>
      <c r="AW21" s="38"/>
      <c r="AX21" s="30"/>
      <c r="AY21" s="30"/>
      <c r="AZ21" s="30"/>
      <c r="BA21" s="30"/>
      <c r="BB21" s="30"/>
      <c r="BC21" s="30"/>
      <c r="BD21" s="30"/>
      <c r="BE21" s="30"/>
      <c r="BF21" s="30"/>
      <c r="BG21" s="30"/>
      <c r="BH21" s="30"/>
      <c r="BI21" s="30"/>
      <c r="BJ21" s="30"/>
      <c r="BK21" s="30"/>
      <c r="BL21" s="30"/>
    </row>
    <row r="22" spans="1:64" s="32" customFormat="1" ht="24.75" customHeight="1" x14ac:dyDescent="0.3">
      <c r="A22" s="18"/>
      <c r="B22" s="33" t="s">
        <v>59</v>
      </c>
      <c r="C22" s="33" t="s">
        <v>53</v>
      </c>
      <c r="D22" s="34">
        <v>1</v>
      </c>
      <c r="E22" s="35">
        <v>46272</v>
      </c>
      <c r="F22" s="36">
        <v>46273</v>
      </c>
      <c r="G22" s="29"/>
      <c r="H22" s="37">
        <f>IF(OR(ISBLANK(E22),ISBLANK(F22)),"",F22-E22+1)</f>
        <v>2</v>
      </c>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1"/>
      <c r="AR22" s="38"/>
      <c r="AS22" s="38"/>
      <c r="AT22" s="30"/>
      <c r="AU22" s="30"/>
      <c r="AV22" s="30"/>
      <c r="AW22" s="30"/>
      <c r="AX22" s="30"/>
      <c r="AY22" s="30"/>
      <c r="AZ22" s="30"/>
      <c r="BA22" s="30"/>
      <c r="BB22" s="30"/>
      <c r="BC22" s="30"/>
      <c r="BD22" s="30"/>
      <c r="BE22" s="30"/>
      <c r="BF22" s="30"/>
      <c r="BG22" s="30"/>
      <c r="BH22" s="30"/>
      <c r="BI22" s="30"/>
      <c r="BJ22" s="30"/>
      <c r="BK22" s="30"/>
      <c r="BL22" s="30"/>
    </row>
    <row r="23" spans="1:64" s="32" customFormat="1" ht="24.75" customHeight="1" x14ac:dyDescent="0.3">
      <c r="A23" s="18"/>
      <c r="B23" s="33" t="s">
        <v>60</v>
      </c>
      <c r="C23" s="33" t="s">
        <v>48</v>
      </c>
      <c r="D23" s="34">
        <v>1</v>
      </c>
      <c r="E23" s="35">
        <v>46268</v>
      </c>
      <c r="F23" s="36">
        <v>46273</v>
      </c>
      <c r="G23" s="29"/>
      <c r="H23" s="37">
        <f>IF(OR(ISBLANK(E23),ISBLANK(F23)),"",F23-E23+1)</f>
        <v>6</v>
      </c>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8"/>
      <c r="AO23" s="38"/>
      <c r="AP23" s="38"/>
      <c r="AQ23" s="38"/>
      <c r="AR23" s="38"/>
      <c r="AS23" s="38"/>
      <c r="AT23" s="30"/>
      <c r="AU23" s="30"/>
      <c r="AV23" s="30"/>
      <c r="AW23" s="30"/>
      <c r="AX23" s="30"/>
      <c r="AY23" s="30"/>
      <c r="AZ23" s="30"/>
      <c r="BA23" s="30"/>
      <c r="BB23" s="30"/>
      <c r="BC23" s="30"/>
      <c r="BD23" s="30"/>
      <c r="BE23" s="30"/>
      <c r="BF23" s="30"/>
      <c r="BG23" s="30"/>
      <c r="BH23" s="30"/>
      <c r="BI23" s="30"/>
      <c r="BJ23" s="30"/>
      <c r="BK23" s="30"/>
      <c r="BL23" s="30"/>
    </row>
    <row r="24" spans="1:64" s="32" customFormat="1" ht="24.75" customHeight="1" x14ac:dyDescent="0.3">
      <c r="A24" s="18"/>
      <c r="B24" s="33" t="s">
        <v>61</v>
      </c>
      <c r="C24" s="33" t="s">
        <v>53</v>
      </c>
      <c r="D24" s="34">
        <v>1</v>
      </c>
      <c r="E24" s="35">
        <v>46270</v>
      </c>
      <c r="F24" s="36">
        <v>46275</v>
      </c>
      <c r="G24" s="29"/>
      <c r="H24" s="37">
        <f>IF(OR(ISBLANK(E24),ISBLANK(F24)),"",F24-E24+1)</f>
        <v>6</v>
      </c>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8"/>
      <c r="AQ24" s="38"/>
      <c r="AR24" s="38"/>
      <c r="AS24" s="38"/>
      <c r="AT24" s="38"/>
      <c r="AU24" s="38"/>
      <c r="AV24" s="30"/>
      <c r="AW24" s="30"/>
      <c r="AX24" s="30"/>
      <c r="AY24" s="30"/>
      <c r="AZ24" s="30"/>
      <c r="BA24" s="30"/>
      <c r="BB24" s="30"/>
      <c r="BC24" s="30"/>
      <c r="BD24" s="30"/>
      <c r="BE24" s="30"/>
      <c r="BF24" s="30"/>
      <c r="BG24" s="30"/>
      <c r="BH24" s="30"/>
      <c r="BI24" s="30"/>
      <c r="BJ24" s="30"/>
      <c r="BK24" s="30"/>
      <c r="BL24" s="30"/>
    </row>
    <row r="25" spans="1:64" s="32" customFormat="1" ht="24.75" customHeight="1" x14ac:dyDescent="0.3">
      <c r="A25" s="18"/>
      <c r="B25" s="33" t="s">
        <v>62</v>
      </c>
      <c r="C25" s="33" t="s">
        <v>51</v>
      </c>
      <c r="D25" s="34">
        <v>1</v>
      </c>
      <c r="E25" s="35">
        <v>46275</v>
      </c>
      <c r="F25" s="36">
        <v>46277</v>
      </c>
      <c r="G25" s="29"/>
      <c r="H25" s="37">
        <f>IF(OR(ISBLANK(E25),ISBLANK(F25)),"",F25-E25+1)</f>
        <v>3</v>
      </c>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1"/>
      <c r="AR25" s="30"/>
      <c r="AS25" s="30"/>
      <c r="AT25" s="30"/>
      <c r="AU25" s="38"/>
      <c r="AV25" s="38"/>
      <c r="AW25" s="38"/>
      <c r="AX25" s="30"/>
      <c r="AY25" s="30"/>
      <c r="AZ25" s="30"/>
      <c r="BA25" s="30"/>
      <c r="BB25" s="30"/>
      <c r="BC25" s="30"/>
      <c r="BD25" s="30"/>
      <c r="BE25" s="30"/>
      <c r="BF25" s="30"/>
      <c r="BG25" s="30"/>
      <c r="BH25" s="30"/>
      <c r="BI25" s="30"/>
      <c r="BJ25" s="30"/>
      <c r="BK25" s="30"/>
      <c r="BL25" s="30"/>
    </row>
    <row r="26" spans="1:64" s="32" customFormat="1" ht="24.75" customHeight="1" x14ac:dyDescent="0.3">
      <c r="A26" s="18"/>
      <c r="B26" s="67" t="s">
        <v>63</v>
      </c>
      <c r="C26" s="67"/>
      <c r="D26" s="67"/>
      <c r="E26" s="67"/>
      <c r="F26" s="67"/>
      <c r="G26" s="67"/>
      <c r="H26" s="67"/>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1"/>
      <c r="AR26" s="30"/>
      <c r="AS26" s="30"/>
      <c r="AT26" s="30"/>
      <c r="AU26" s="30"/>
      <c r="AV26" s="30"/>
      <c r="AW26" s="30"/>
      <c r="AX26" s="30"/>
      <c r="AY26" s="30"/>
      <c r="AZ26" s="30"/>
      <c r="BA26" s="30"/>
      <c r="BB26" s="30"/>
      <c r="BC26" s="30"/>
      <c r="BD26" s="30"/>
      <c r="BE26" s="30"/>
      <c r="BF26" s="30"/>
      <c r="BG26" s="30"/>
      <c r="BH26" s="30"/>
      <c r="BI26" s="30"/>
      <c r="BJ26" s="30"/>
      <c r="BK26" s="30"/>
      <c r="BL26" s="30"/>
    </row>
    <row r="27" spans="1:64" s="32" customFormat="1" ht="24.75" customHeight="1" x14ac:dyDescent="0.3">
      <c r="A27" s="18"/>
      <c r="B27" s="33" t="s">
        <v>64</v>
      </c>
      <c r="C27" s="33" t="s">
        <v>48</v>
      </c>
      <c r="D27" s="34">
        <v>0.5</v>
      </c>
      <c r="E27" s="35">
        <v>46276</v>
      </c>
      <c r="F27" s="36">
        <v>46278</v>
      </c>
      <c r="G27" s="29"/>
      <c r="H27" s="37">
        <f>IF(OR(ISBLANK(E27),ISBLANK(F27)),"",F27-E27+1)</f>
        <v>3</v>
      </c>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1"/>
      <c r="AR27" s="30"/>
      <c r="AS27" s="30"/>
      <c r="AT27" s="30"/>
      <c r="AU27" s="30"/>
      <c r="AV27" s="38"/>
      <c r="AW27" s="38"/>
      <c r="AX27" s="38"/>
      <c r="AY27" s="30"/>
      <c r="AZ27" s="30"/>
      <c r="BA27" s="30"/>
      <c r="BB27" s="30"/>
      <c r="BC27" s="30"/>
      <c r="BD27" s="30"/>
      <c r="BE27" s="30"/>
      <c r="BF27" s="30"/>
      <c r="BG27" s="30"/>
      <c r="BH27" s="30"/>
      <c r="BI27" s="30"/>
      <c r="BJ27" s="30"/>
      <c r="BK27" s="30"/>
      <c r="BL27" s="30"/>
    </row>
    <row r="28" spans="1:64" s="32" customFormat="1" ht="24.75" customHeight="1" x14ac:dyDescent="0.3">
      <c r="A28" s="18"/>
      <c r="B28" s="33" t="s">
        <v>65</v>
      </c>
      <c r="C28" s="33" t="s">
        <v>48</v>
      </c>
      <c r="D28" s="34">
        <v>0.7</v>
      </c>
      <c r="E28" s="35">
        <v>46276</v>
      </c>
      <c r="F28" s="36">
        <v>46278</v>
      </c>
      <c r="G28" s="29"/>
      <c r="H28" s="37">
        <f>IF(OR(ISBLANK(E28),ISBLANK(F28)),"",F28-E28+1)</f>
        <v>3</v>
      </c>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1"/>
      <c r="AR28" s="30"/>
      <c r="AS28" s="30"/>
      <c r="AT28" s="30"/>
      <c r="AU28" s="30"/>
      <c r="AV28" s="38"/>
      <c r="AW28" s="38"/>
      <c r="AX28" s="38"/>
      <c r="AY28" s="30"/>
      <c r="AZ28" s="30"/>
      <c r="BA28" s="30"/>
      <c r="BB28" s="30"/>
      <c r="BC28" s="30"/>
      <c r="BD28" s="30"/>
      <c r="BE28" s="30"/>
      <c r="BF28" s="30"/>
      <c r="BG28" s="30"/>
      <c r="BH28" s="30"/>
      <c r="BI28" s="30"/>
      <c r="BJ28" s="30"/>
      <c r="BK28" s="30"/>
      <c r="BL28" s="30"/>
    </row>
    <row r="29" spans="1:64" s="32" customFormat="1" ht="24.75" customHeight="1" x14ac:dyDescent="0.3">
      <c r="A29" s="18"/>
      <c r="B29" s="33" t="s">
        <v>66</v>
      </c>
      <c r="C29" s="33" t="s">
        <v>48</v>
      </c>
      <c r="D29" s="34">
        <v>1</v>
      </c>
      <c r="E29" s="35">
        <v>46276</v>
      </c>
      <c r="F29" s="36">
        <v>46277</v>
      </c>
      <c r="G29" s="29"/>
      <c r="H29" s="37">
        <f>IF(OR(ISBLANK(E29),ISBLANK(F29)),"",F29-E29+1)</f>
        <v>2</v>
      </c>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1"/>
      <c r="AR29" s="30"/>
      <c r="AS29" s="30"/>
      <c r="AT29" s="30"/>
      <c r="AU29" s="30"/>
      <c r="AV29" s="38"/>
      <c r="AW29" s="38"/>
      <c r="AX29" s="30"/>
      <c r="AY29" s="30"/>
      <c r="AZ29" s="30"/>
      <c r="BA29" s="30"/>
      <c r="BB29" s="30"/>
      <c r="BC29" s="30"/>
      <c r="BD29" s="30"/>
      <c r="BE29" s="30"/>
      <c r="BF29" s="30"/>
      <c r="BG29" s="30"/>
      <c r="BH29" s="30"/>
      <c r="BI29" s="30"/>
      <c r="BJ29" s="30"/>
      <c r="BK29" s="30"/>
      <c r="BL29" s="30"/>
    </row>
    <row r="30" spans="1:64" s="32" customFormat="1" ht="24.75" customHeight="1" x14ac:dyDescent="0.3">
      <c r="A30" s="18"/>
      <c r="B30" s="33" t="s">
        <v>67</v>
      </c>
      <c r="C30" s="33" t="s">
        <v>51</v>
      </c>
      <c r="D30" s="34">
        <v>0.3</v>
      </c>
      <c r="E30" s="35">
        <v>46277</v>
      </c>
      <c r="F30" s="36">
        <v>46277</v>
      </c>
      <c r="G30" s="29"/>
      <c r="H30" s="37">
        <f>IF(OR(ISBLANK(E30),ISBLANK(F30)),"",F30-E30+1)</f>
        <v>1</v>
      </c>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1"/>
      <c r="AR30" s="30"/>
      <c r="AS30" s="30"/>
      <c r="AT30" s="30"/>
      <c r="AU30" s="30"/>
      <c r="AV30" s="30"/>
      <c r="AW30" s="38"/>
      <c r="AX30" s="30"/>
      <c r="AY30" s="30"/>
      <c r="AZ30" s="30"/>
      <c r="BA30" s="30"/>
      <c r="BB30" s="30"/>
      <c r="BC30" s="30"/>
      <c r="BD30" s="30"/>
      <c r="BE30" s="30"/>
      <c r="BF30" s="30"/>
      <c r="BG30" s="30"/>
      <c r="BH30" s="30"/>
      <c r="BI30" s="30"/>
      <c r="BJ30" s="30"/>
      <c r="BK30" s="30"/>
      <c r="BL30" s="30"/>
    </row>
    <row r="31" spans="1:64" s="32" customFormat="1" ht="24.75" customHeight="1" x14ac:dyDescent="0.3">
      <c r="A31" s="18"/>
      <c r="B31" s="33" t="s">
        <v>68</v>
      </c>
      <c r="C31" s="33" t="s">
        <v>53</v>
      </c>
      <c r="D31" s="34">
        <v>0.5</v>
      </c>
      <c r="E31" s="35">
        <v>46275</v>
      </c>
      <c r="F31" s="36">
        <v>46278</v>
      </c>
      <c r="G31" s="29"/>
      <c r="H31" s="37">
        <f>IF(OR(ISBLANK(E31),ISBLANK(F31)),"",F31-E31+1)</f>
        <v>4</v>
      </c>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1"/>
      <c r="AR31" s="30"/>
      <c r="AS31" s="30"/>
      <c r="AT31" s="30"/>
      <c r="AU31" s="38"/>
      <c r="AV31" s="38"/>
      <c r="AW31" s="38"/>
      <c r="AX31" s="38"/>
      <c r="AY31" s="30"/>
      <c r="AZ31" s="30"/>
      <c r="BA31" s="30"/>
      <c r="BB31" s="30"/>
      <c r="BC31" s="30"/>
      <c r="BD31" s="30"/>
      <c r="BE31" s="30"/>
      <c r="BF31" s="30"/>
      <c r="BG31" s="30"/>
      <c r="BH31" s="30"/>
      <c r="BI31" s="30"/>
      <c r="BJ31" s="30"/>
      <c r="BK31" s="30"/>
      <c r="BL31" s="30"/>
    </row>
    <row r="32" spans="1:64" s="32" customFormat="1" ht="24.75" customHeight="1" x14ac:dyDescent="0.3">
      <c r="A32" s="18"/>
      <c r="B32" s="67" t="s">
        <v>69</v>
      </c>
      <c r="C32" s="67"/>
      <c r="D32" s="67"/>
      <c r="E32" s="67"/>
      <c r="F32" s="67"/>
      <c r="G32" s="67"/>
      <c r="H32" s="67"/>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1"/>
      <c r="AR32" s="30"/>
      <c r="AS32" s="30"/>
      <c r="AT32" s="30"/>
      <c r="AU32" s="30"/>
      <c r="AV32" s="30"/>
      <c r="AW32" s="30"/>
      <c r="AX32" s="30"/>
      <c r="AY32" s="30"/>
      <c r="AZ32" s="30"/>
      <c r="BA32" s="30"/>
      <c r="BB32" s="30"/>
      <c r="BC32" s="30"/>
      <c r="BD32" s="30"/>
      <c r="BE32" s="30"/>
      <c r="BF32" s="30"/>
      <c r="BG32" s="30"/>
      <c r="BH32" s="30"/>
      <c r="BI32" s="30"/>
      <c r="BJ32" s="30"/>
      <c r="BK32" s="30"/>
      <c r="BL32" s="30"/>
    </row>
    <row r="33" spans="1:128" s="32" customFormat="1" ht="24.75" customHeight="1" x14ac:dyDescent="0.3">
      <c r="A33" s="18"/>
      <c r="B33" s="33"/>
      <c r="C33" s="33"/>
      <c r="D33" s="34">
        <v>0</v>
      </c>
      <c r="E33" s="35"/>
      <c r="F33" s="36"/>
      <c r="G33" s="29"/>
      <c r="H33" s="37" t="str">
        <f>IF(OR(ISBLANK(E33),ISBLANK(F33)),"",F33-E33+1)</f>
        <v/>
      </c>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1"/>
      <c r="AR33" s="30"/>
      <c r="AS33" s="30"/>
      <c r="AT33" s="30"/>
      <c r="AU33" s="30"/>
      <c r="AV33" s="30"/>
      <c r="AW33" s="30"/>
      <c r="AX33" s="30"/>
      <c r="AY33" s="30"/>
      <c r="AZ33" s="30"/>
      <c r="BA33" s="30"/>
      <c r="BB33" s="30"/>
      <c r="BC33" s="30"/>
      <c r="BD33" s="30"/>
      <c r="BE33" s="30"/>
      <c r="BF33" s="30"/>
      <c r="BG33" s="30"/>
      <c r="BH33" s="30"/>
      <c r="BI33" s="30"/>
      <c r="BJ33" s="30"/>
      <c r="BK33" s="30"/>
      <c r="BL33" s="30"/>
      <c r="CI33" s="40"/>
      <c r="CJ33" s="40"/>
      <c r="CK33" s="40"/>
      <c r="CL33" s="40"/>
      <c r="CM33" s="40"/>
      <c r="CN33" s="40"/>
      <c r="CO33" s="40"/>
      <c r="CP33" s="40"/>
      <c r="CQ33" s="40"/>
      <c r="CR33" s="40"/>
      <c r="CS33" s="40"/>
      <c r="CT33" s="40"/>
    </row>
    <row r="34" spans="1:128" s="32" customFormat="1" ht="24.75" customHeight="1" x14ac:dyDescent="0.3">
      <c r="A34" s="18"/>
      <c r="B34" s="33"/>
      <c r="C34" s="33"/>
      <c r="D34" s="34">
        <v>0</v>
      </c>
      <c r="E34" s="35"/>
      <c r="F34" s="36"/>
      <c r="G34" s="29"/>
      <c r="H34" s="37" t="str">
        <f>IF(OR(ISBLANK(E34),ISBLANK(F34)),"",F34-E34+1)</f>
        <v/>
      </c>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1"/>
      <c r="AR34" s="30"/>
      <c r="AS34" s="30"/>
      <c r="AT34" s="30"/>
      <c r="AU34" s="30"/>
      <c r="AV34" s="30"/>
      <c r="AW34" s="30"/>
      <c r="AX34" s="30"/>
      <c r="AY34" s="30"/>
      <c r="AZ34" s="30"/>
      <c r="BA34" s="30"/>
      <c r="BB34" s="30"/>
      <c r="BC34" s="30"/>
      <c r="BD34" s="30"/>
      <c r="BE34" s="30"/>
      <c r="BF34" s="30"/>
      <c r="BG34" s="30"/>
      <c r="BH34" s="30"/>
      <c r="BI34" s="30"/>
      <c r="BJ34" s="30"/>
      <c r="BK34" s="30"/>
      <c r="BL34" s="30"/>
      <c r="CU34" s="40"/>
      <c r="CV34" s="40"/>
      <c r="CW34" s="40"/>
      <c r="CX34" s="40"/>
      <c r="CY34" s="40"/>
      <c r="CZ34" s="40"/>
      <c r="DA34" s="40"/>
      <c r="DB34" s="40"/>
    </row>
    <row r="35" spans="1:128" s="32" customFormat="1" ht="24.75" customHeight="1" x14ac:dyDescent="0.3">
      <c r="A35" s="18"/>
      <c r="B35" s="33"/>
      <c r="C35" s="33"/>
      <c r="D35" s="34">
        <v>0</v>
      </c>
      <c r="E35" s="35"/>
      <c r="F35" s="36"/>
      <c r="G35" s="29"/>
      <c r="H35" s="37" t="str">
        <f>IF(OR(ISBLANK(E35),ISBLANK(F35)),"",F35-E35+1)</f>
        <v/>
      </c>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1"/>
      <c r="AR35" s="30"/>
      <c r="AS35" s="30"/>
      <c r="AT35" s="30"/>
      <c r="AU35" s="30"/>
      <c r="AV35" s="30"/>
      <c r="AW35" s="30"/>
      <c r="AX35" s="30"/>
      <c r="AY35" s="30"/>
      <c r="AZ35" s="30"/>
      <c r="BA35" s="30"/>
      <c r="BB35" s="30"/>
      <c r="BC35" s="30"/>
      <c r="BD35" s="30"/>
      <c r="BE35" s="30"/>
      <c r="BF35" s="30"/>
      <c r="BG35" s="30"/>
      <c r="BH35" s="30"/>
      <c r="BI35" s="30"/>
      <c r="BJ35" s="30"/>
      <c r="BK35" s="30"/>
      <c r="BL35" s="30"/>
      <c r="CY35" s="40"/>
      <c r="CZ35" s="40"/>
      <c r="DA35" s="40"/>
      <c r="DB35" s="40"/>
      <c r="DC35" s="40"/>
      <c r="DD35" s="40"/>
      <c r="DE35" s="40"/>
      <c r="DF35" s="40"/>
      <c r="DG35" s="40"/>
      <c r="DH35" s="40"/>
      <c r="DI35" s="40"/>
    </row>
    <row r="36" spans="1:128" s="32" customFormat="1" ht="24.75" customHeight="1" x14ac:dyDescent="0.3">
      <c r="A36" s="18"/>
      <c r="B36" s="33"/>
      <c r="C36" s="33"/>
      <c r="D36" s="34">
        <v>0</v>
      </c>
      <c r="E36" s="35"/>
      <c r="F36" s="36"/>
      <c r="G36" s="29"/>
      <c r="H36" s="37" t="str">
        <f>IF(OR(ISBLANK(E36),ISBLANK(F36)),"",F36-E36+1)</f>
        <v/>
      </c>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1"/>
      <c r="AR36" s="30"/>
      <c r="AS36" s="30"/>
      <c r="AT36" s="30"/>
      <c r="AU36" s="30"/>
      <c r="AV36" s="30"/>
      <c r="AW36" s="30"/>
      <c r="AX36" s="30"/>
      <c r="AY36" s="30"/>
      <c r="AZ36" s="30"/>
      <c r="BA36" s="30"/>
      <c r="BB36" s="30"/>
      <c r="BC36" s="30"/>
      <c r="BD36" s="30"/>
      <c r="BE36" s="30"/>
      <c r="BF36" s="30"/>
      <c r="BG36" s="30"/>
      <c r="BH36" s="30"/>
      <c r="BI36" s="30"/>
      <c r="BJ36" s="30"/>
      <c r="BK36" s="30"/>
      <c r="BL36" s="30"/>
      <c r="DD36" s="40"/>
      <c r="DE36" s="40"/>
      <c r="DF36" s="40"/>
      <c r="DG36" s="40"/>
      <c r="DH36" s="40"/>
      <c r="DI36" s="40"/>
      <c r="DJ36" s="40"/>
      <c r="DK36" s="40"/>
      <c r="DL36" s="40"/>
      <c r="DM36" s="40"/>
      <c r="DN36" s="40"/>
      <c r="DO36" s="40"/>
      <c r="DP36" s="40"/>
      <c r="DQ36" s="40"/>
      <c r="DR36" s="40"/>
    </row>
    <row r="37" spans="1:128" s="32" customFormat="1" ht="24.75" customHeight="1" x14ac:dyDescent="0.3">
      <c r="A37" s="18"/>
      <c r="B37" s="33"/>
      <c r="C37" s="33"/>
      <c r="D37" s="34">
        <v>0</v>
      </c>
      <c r="E37" s="35"/>
      <c r="F37" s="36"/>
      <c r="G37" s="29"/>
      <c r="H37" s="37" t="str">
        <f>IF(OR(ISBLANK(E37),ISBLANK(F37)),"",F37-E37+1)</f>
        <v/>
      </c>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1"/>
      <c r="AR37" s="30"/>
      <c r="AS37" s="30"/>
      <c r="AT37" s="30"/>
      <c r="AU37" s="30"/>
      <c r="AV37" s="30"/>
      <c r="AW37" s="30"/>
      <c r="AX37" s="30"/>
      <c r="AY37" s="30"/>
      <c r="AZ37" s="30"/>
      <c r="BA37" s="30"/>
      <c r="BB37" s="30"/>
      <c r="BC37" s="30"/>
      <c r="BD37" s="30"/>
      <c r="BE37" s="30"/>
      <c r="BF37" s="30"/>
      <c r="BG37" s="30"/>
      <c r="BH37" s="30"/>
      <c r="BI37" s="30"/>
      <c r="BJ37" s="30"/>
      <c r="BK37" s="30"/>
      <c r="BL37" s="30"/>
      <c r="DS37" s="40"/>
      <c r="DT37" s="40"/>
      <c r="DU37" s="40"/>
      <c r="DV37" s="40"/>
      <c r="DW37" s="40"/>
      <c r="DX37" s="40"/>
    </row>
    <row r="38" spans="1:128" s="32" customFormat="1" ht="21.75" customHeight="1" x14ac:dyDescent="0.3">
      <c r="A38" s="18"/>
      <c r="B38" s="41"/>
      <c r="C38" s="42"/>
      <c r="D38" s="43"/>
      <c r="E38" s="44"/>
      <c r="F38" s="45"/>
      <c r="G38" s="46"/>
      <c r="H38" s="46"/>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row>
    <row r="39" spans="1:128" s="32" customFormat="1" ht="21.75" customHeight="1" x14ac:dyDescent="0.3">
      <c r="A39" s="18"/>
      <c r="B39" s="41"/>
      <c r="C39" s="42"/>
      <c r="D39" s="43"/>
      <c r="E39" s="44"/>
      <c r="F39" s="45"/>
      <c r="G39" s="46"/>
      <c r="H39" s="46"/>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row>
    <row r="40" spans="1:128" s="32" customFormat="1" ht="21.75" customHeight="1" x14ac:dyDescent="0.3">
      <c r="A40" s="18"/>
      <c r="B40" s="41" t="s">
        <v>70</v>
      </c>
      <c r="C40" s="68" t="s">
        <v>71</v>
      </c>
      <c r="D40" s="68"/>
      <c r="E40" s="68"/>
      <c r="F40" s="68"/>
      <c r="G40" s="68"/>
      <c r="H40" s="68"/>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row>
    <row r="41" spans="1:128" s="32" customFormat="1" ht="21.75" customHeight="1" x14ac:dyDescent="0.3">
      <c r="A41" s="18"/>
      <c r="B41" s="47"/>
      <c r="C41" s="68"/>
      <c r="D41" s="68"/>
      <c r="E41" s="68"/>
      <c r="F41" s="68"/>
      <c r="G41" s="68"/>
      <c r="H41" s="6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row>
    <row r="42" spans="1:128" x14ac:dyDescent="0.3">
      <c r="A42" s="10"/>
      <c r="B42" t="s">
        <v>72</v>
      </c>
      <c r="C42" s="66" t="s">
        <v>73</v>
      </c>
      <c r="D42" s="66"/>
      <c r="E42" s="66"/>
      <c r="F42" s="66"/>
      <c r="G42" s="66"/>
      <c r="H42" s="66"/>
    </row>
    <row r="43" spans="1:128" x14ac:dyDescent="0.3">
      <c r="B43" s="49" t="s">
        <v>74</v>
      </c>
      <c r="C43" s="49"/>
      <c r="F43" s="50">
        <v>43113</v>
      </c>
    </row>
    <row r="44" spans="1:128" x14ac:dyDescent="0.3">
      <c r="B44" s="51" t="s">
        <v>75</v>
      </c>
      <c r="C44" s="52"/>
    </row>
    <row r="45" spans="1:128" x14ac:dyDescent="0.3">
      <c r="B45" s="53" t="s">
        <v>76</v>
      </c>
    </row>
  </sheetData>
  <mergeCells count="28">
    <mergeCell ref="B1:G1"/>
    <mergeCell ref="J1:AA1"/>
    <mergeCell ref="E2:F2"/>
    <mergeCell ref="C3:E3"/>
    <mergeCell ref="I4:O4"/>
    <mergeCell ref="P4:V4"/>
    <mergeCell ref="W4:AC4"/>
    <mergeCell ref="CV4:DB4"/>
    <mergeCell ref="DC4:DI4"/>
    <mergeCell ref="DJ4:DP4"/>
    <mergeCell ref="DQ4:DW4"/>
    <mergeCell ref="B8:H8"/>
    <mergeCell ref="BM4:BS4"/>
    <mergeCell ref="BT4:BZ4"/>
    <mergeCell ref="CA4:CG4"/>
    <mergeCell ref="CH4:CN4"/>
    <mergeCell ref="CO4:CU4"/>
    <mergeCell ref="AD4:AJ4"/>
    <mergeCell ref="AK4:AQ4"/>
    <mergeCell ref="AR4:AX4"/>
    <mergeCell ref="AY4:BE4"/>
    <mergeCell ref="BF4:BL4"/>
    <mergeCell ref="C42:H42"/>
    <mergeCell ref="B14:H14"/>
    <mergeCell ref="B20:H20"/>
    <mergeCell ref="B26:H26"/>
    <mergeCell ref="B32:H32"/>
    <mergeCell ref="C40:H41"/>
  </mergeCells>
  <conditionalFormatting sqref="D7:D37">
    <cfRule type="dataBar" priority="2">
      <dataBar>
        <cfvo type="num" val="0"/>
        <cfvo type="num" val="1"/>
        <color rgb="FF5B9BD5"/>
      </dataBar>
      <extLst>
        <ext xmlns:x14="http://schemas.microsoft.com/office/spreadsheetml/2009/9/main" uri="{B025F937-C7B1-47D3-B67F-A62EFF666E3E}">
          <x14:id>{AFEFD236-A53E-408E-9142-3CBBBDFB5F55}</x14:id>
        </ext>
      </extLst>
    </cfRule>
  </conditionalFormatting>
  <conditionalFormatting sqref="I9:DX10 I11:K11 M11:N11 P11:DX11 I12:DX37">
    <cfRule type="expression" dxfId="3" priority="3">
      <formula>AND($E9&lt;&gt;"",$F9&lt;&gt;"",$D9&gt;0,E$5&gt;=$E9,E$5&lt;=$E9+ROUNDDOWN(($F9-$E9+1)*$D9,0)-1)</formula>
    </cfRule>
    <cfRule type="expression" dxfId="2" priority="4">
      <formula>AND($E9&lt;&gt;"",$F9&lt;&gt;"",E$5&gt;=$E9,E$5&lt;=$F9)</formula>
    </cfRule>
  </conditionalFormatting>
  <conditionalFormatting sqref="O11">
    <cfRule type="expression" dxfId="1" priority="5">
      <formula>AND($E11&lt;&gt;"",$F11&lt;&gt;"",$D11&gt;0,H$5&gt;=$E11,H$5&lt;=$E11+ROUNDDOWN(($F11-$E11+1)*$D11,0)-1)</formula>
    </cfRule>
    <cfRule type="expression" dxfId="0" priority="6">
      <formula>AND($E11&lt;&gt;"",$F11&lt;&gt;"",H$5&gt;=$E11,H$5&lt;=$F11)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formula2>0</formula2>
    </dataValidation>
  </dataValidations>
  <hyperlinks>
    <hyperlink ref="B43" r:id="rId1" xr:uid="{00000000-0004-0000-0000-000000000000}"/>
    <hyperlink ref="B44" r:id="rId2" xr:uid="{00000000-0004-0000-0000-000001000000}"/>
  </hyperlinks>
  <pageMargins left="0.35" right="0.35" top="0.35" bottom="0.5" header="0.511811023622047" footer="0.511811023622047"/>
  <pageSetup fitToHeight="0" orientation="landscape" horizontalDpi="300" verticalDpi="300"/>
  <legacyDrawing r:id="rId3"/>
  <extLst>
    <ext xmlns:x14="http://schemas.microsoft.com/office/spreadsheetml/2009/9/main" uri="{78C0D931-6437-407d-A8EE-F0AAD7539E65}">
      <x14:conditionalFormattings>
        <x14:conditionalFormatting xmlns:xm="http://schemas.microsoft.com/office/excel/2006/main">
          <x14:cfRule type="dataBar" id="{AFEFD236-A53E-408E-9142-3CBBBDFB5F55}">
            <x14:dataBar axisPosition="none">
              <x14:cfvo type="num">
                <xm:f>0</xm:f>
              </x14:cfvo>
              <x14:cfvo type="num">
                <xm:f>1</xm:f>
              </x14:cfvo>
              <x14:negativeFillColor rgb="FF5B9BD5"/>
            </x14:dataBar>
          </x14:cfRule>
          <xm:sqref>D7:D37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109375" defaultRowHeight="13.8" x14ac:dyDescent="0.3"/>
  <cols>
    <col min="1" max="1" width="2.88671875" style="54" customWidth="1"/>
    <col min="2" max="2" width="87.109375" style="55" customWidth="1"/>
    <col min="3" max="16384" width="9.109375" style="54"/>
  </cols>
  <sheetData>
    <row r="1" spans="2:3" ht="46.5" customHeight="1" x14ac:dyDescent="0.3"/>
    <row r="2" spans="2:3" s="56" customFormat="1" ht="15.75" customHeight="1" x14ac:dyDescent="0.3">
      <c r="B2" s="57" t="s">
        <v>77</v>
      </c>
      <c r="C2" s="57"/>
    </row>
    <row r="3" spans="2:3" s="58" customFormat="1" ht="13.5" customHeight="1" x14ac:dyDescent="0.3">
      <c r="B3" s="59" t="s">
        <v>75</v>
      </c>
      <c r="C3" s="59"/>
    </row>
    <row r="4" spans="2:3" x14ac:dyDescent="0.3">
      <c r="B4" s="60" t="s">
        <v>76</v>
      </c>
    </row>
    <row r="6" spans="2:3" s="61" customFormat="1" ht="26.25" customHeight="1" x14ac:dyDescent="0.5">
      <c r="B6" s="62" t="s">
        <v>78</v>
      </c>
    </row>
    <row r="7" spans="2:3" ht="60" customHeight="1" x14ac:dyDescent="0.3">
      <c r="B7" s="63" t="s">
        <v>79</v>
      </c>
    </row>
    <row r="8" spans="2:3" ht="15" customHeight="1" x14ac:dyDescent="0.3">
      <c r="B8" s="64"/>
    </row>
    <row r="9" spans="2:3" s="61" customFormat="1" ht="26.25" customHeight="1" x14ac:dyDescent="0.5">
      <c r="B9" s="62" t="s">
        <v>80</v>
      </c>
    </row>
    <row r="10" spans="2:3" ht="60" customHeight="1" x14ac:dyDescent="0.3">
      <c r="B10" s="63" t="s">
        <v>81</v>
      </c>
    </row>
    <row r="11" spans="2:3" ht="14.25" customHeight="1" x14ac:dyDescent="0.3">
      <c r="B11" s="65" t="s">
        <v>82</v>
      </c>
    </row>
    <row r="12" spans="2:3" ht="15" customHeight="1" x14ac:dyDescent="0.3">
      <c r="B12" s="64"/>
    </row>
    <row r="13" spans="2:3" ht="14.25" customHeight="1" x14ac:dyDescent="0.3">
      <c r="B13" s="65" t="str">
        <f>HYPERLINK("https://vertex42.link/HowToMakeAGanttChart","► Watch How This Gantt Chart Was Created")</f>
        <v>► Watch How This Gantt Chart Was Created</v>
      </c>
    </row>
    <row r="14" spans="2:3" ht="15" customHeight="1" x14ac:dyDescent="0.3">
      <c r="B14" s="64"/>
    </row>
    <row r="15" spans="2:3" s="61" customFormat="1" ht="26.25" customHeight="1" x14ac:dyDescent="0.5">
      <c r="B15" s="62" t="s">
        <v>83</v>
      </c>
    </row>
    <row r="16" spans="2:3" ht="30" customHeight="1" x14ac:dyDescent="0.3">
      <c r="B16" s="63" t="s">
        <v>84</v>
      </c>
    </row>
    <row r="17" spans="2:2" ht="14.25" customHeight="1" x14ac:dyDescent="0.3">
      <c r="B17" s="65" t="s">
        <v>85</v>
      </c>
    </row>
    <row r="18" spans="2:2" ht="15" customHeight="1" x14ac:dyDescent="0.3">
      <c r="B18" s="64"/>
    </row>
    <row r="19" spans="2:2" s="61" customFormat="1" ht="26.25" customHeight="1" x14ac:dyDescent="0.5">
      <c r="B19" s="62" t="s">
        <v>86</v>
      </c>
    </row>
    <row r="20" spans="2:2" ht="60" customHeight="1" x14ac:dyDescent="0.3">
      <c r="B20" s="63" t="s">
        <v>87</v>
      </c>
    </row>
    <row r="21" spans="2:2" ht="15" customHeight="1" x14ac:dyDescent="0.3">
      <c r="B21" s="64"/>
    </row>
    <row r="22" spans="2:2" ht="75" customHeight="1" x14ac:dyDescent="0.3">
      <c r="B22" s="63" t="s">
        <v>88</v>
      </c>
    </row>
  </sheetData>
  <hyperlinks>
    <hyperlink ref="B2" r:id="rId1" xr:uid="{00000000-0004-0000-0100-000000000000}"/>
    <hyperlink ref="B3" r:id="rId2" xr:uid="{00000000-0004-0000-0100-000001000000}"/>
    <hyperlink ref="B11" r:id="rId3" xr:uid="{00000000-0004-0000-0100-000002000000}"/>
    <hyperlink ref="B17" r:id="rId4" xr:uid="{00000000-0004-0000-0100-000003000000}"/>
  </hyperlinks>
  <pageMargins left="0.5" right="0.5" top="0.5" bottom="0.5" header="0.511811023622047" footer="0.511811023622047"/>
  <pageSetup orientation="portrait" horizontalDpi="300" verticalDpi="300"/>
  <drawing r:id="rId5"/>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ProjectSchedule</vt:lpstr>
      <vt:lpstr>About</vt:lpstr>
      <vt:lpstr>ProjectSchedule!Print_Titles</vt:lpstr>
      <vt:lpstr>ProjectSchedule!task_end</vt:lpstr>
      <vt:lpstr>ProjectSchedule!task_progress</vt:lpstr>
      <vt:lpstr>ProjectSchedule!task_start</vt:lpstr>
      <vt:lpstr>ProjectSchedule!today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subject/>
  <dc:creator>Vertex42.com</dc:creator>
  <dc:description>© 2018-2019 Vertex42 LLC. All Rights Reserved.</dc:description>
  <cp:lastModifiedBy>Madhav Gupta</cp:lastModifiedBy>
  <cp:revision>0</cp:revision>
  <cp:lastPrinted>2019-04-24T14:39:40Z</cp:lastPrinted>
  <dcterms:created xsi:type="dcterms:W3CDTF">2017-01-09T18:01:51Z</dcterms:created>
  <dcterms:modified xsi:type="dcterms:W3CDTF">2026-09-13T18:36:13Z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 2019 Vertex42 LLC</vt:lpwstr>
  </property>
  <property fmtid="{D5CDD505-2E9C-101B-9397-08002B2CF9AE}" pid="3" name="Source">
    <vt:lpwstr>https://www.vertex42.com/</vt:lpwstr>
  </property>
  <property fmtid="{D5CDD505-2E9C-101B-9397-08002B2CF9AE}" pid="4" name="Version">
    <vt:lpwstr>1.0.1</vt:lpwstr>
  </property>
</Properties>
</file>